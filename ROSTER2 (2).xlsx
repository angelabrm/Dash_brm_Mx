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15475044\Documents\Stellantis\Importantes\"/>
    </mc:Choice>
  </mc:AlternateContent>
  <bookViews>
    <workbookView xWindow="0" yWindow="0" windowWidth="19200" windowHeight="6350"/>
  </bookViews>
  <sheets>
    <sheet name="Hoja1" sheetId="1" r:id="rId1"/>
    <sheet name="Hoja2" sheetId="2" r:id="rId2"/>
  </sheets>
  <definedNames>
    <definedName name="_xlnm._FilterDatabase" localSheetId="0" hidden="1">Hoja1!$A$1:$T$79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11" i="1"/>
  <c r="F16" i="1"/>
  <c r="F17" i="1"/>
  <c r="F20" i="1"/>
  <c r="F33" i="1"/>
  <c r="F36" i="1"/>
  <c r="F41" i="1"/>
  <c r="F44" i="1"/>
  <c r="F48" i="1"/>
  <c r="F56" i="1"/>
  <c r="F61" i="1"/>
  <c r="F65" i="1"/>
  <c r="F79" i="1"/>
  <c r="F2" i="1"/>
  <c r="E3" i="1" l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9" i="1"/>
  <c r="E61" i="1"/>
  <c r="E62" i="1"/>
  <c r="E63" i="1"/>
  <c r="E64" i="1"/>
  <c r="E65" i="1"/>
  <c r="E70" i="1"/>
  <c r="E71" i="1"/>
  <c r="E72" i="1"/>
  <c r="E77" i="1"/>
  <c r="E78" i="1"/>
  <c r="E79" i="1"/>
  <c r="E2" i="1"/>
</calcChain>
</file>

<file path=xl/sharedStrings.xml><?xml version="1.0" encoding="utf-8"?>
<sst xmlns="http://schemas.openxmlformats.org/spreadsheetml/2006/main" count="1167" uniqueCount="517">
  <si>
    <t>Documento</t>
  </si>
  <si>
    <t>Nombre base de datos</t>
  </si>
  <si>
    <t>MESA_</t>
  </si>
  <si>
    <t>Nombre</t>
  </si>
  <si>
    <t>Email</t>
  </si>
  <si>
    <t>Compass</t>
  </si>
  <si>
    <t>AGENT DATA</t>
  </si>
  <si>
    <t>Genesys</t>
  </si>
  <si>
    <t>TUR Training</t>
  </si>
  <si>
    <t>QA</t>
  </si>
  <si>
    <t>Feedback</t>
  </si>
  <si>
    <t>Malla</t>
  </si>
  <si>
    <t>Evaluation</t>
  </si>
  <si>
    <t>Directorio Distribuidores MOPAR</t>
  </si>
  <si>
    <t>Rol Home Office</t>
  </si>
  <si>
    <t>DICA9809116S6</t>
  </si>
  <si>
    <t>aida esperanza diaz cativo</t>
  </si>
  <si>
    <t>CAC</t>
  </si>
  <si>
    <t>Aida Esperanza Diaz Cativo</t>
  </si>
  <si>
    <t>Inactivo</t>
  </si>
  <si>
    <t>aida.diaz@brm.lat</t>
  </si>
  <si>
    <t>ROAA941101N80</t>
  </si>
  <si>
    <t>aldo aaron rodriguez arroyo</t>
  </si>
  <si>
    <t>STAFF</t>
  </si>
  <si>
    <t>Aldo Aaron Rodriguez Arroyo</t>
  </si>
  <si>
    <t>aldo.rodriguez@brm.lat</t>
  </si>
  <si>
    <t>Aldo Aaron Rodríguez Arroyo</t>
  </si>
  <si>
    <t>ALDO AARON RODRIGUEZ ARROYO</t>
  </si>
  <si>
    <t>TOTA970408G2A</t>
  </si>
  <si>
    <t>alfredo carlos torres trujillo</t>
  </si>
  <si>
    <t>PREMIUM</t>
  </si>
  <si>
    <t>Alfredo Carlos Torres Trujillo</t>
  </si>
  <si>
    <t>Activo</t>
  </si>
  <si>
    <t>MOAA990219V45</t>
  </si>
  <si>
    <t>ana luisa molina aguirre</t>
  </si>
  <si>
    <t>Ana Luisa Molina Aguirre</t>
  </si>
  <si>
    <t>ana.molina@brm.lat</t>
  </si>
  <si>
    <t>Ana Molina</t>
  </si>
  <si>
    <t>Ana Luis Molina</t>
  </si>
  <si>
    <t>NERA921105325</t>
  </si>
  <si>
    <t>angel alfonso negrete rojas</t>
  </si>
  <si>
    <t>Angel Alfonso Negrete Rojas</t>
  </si>
  <si>
    <t>ANGEL ALFONSO NEGRETE ROJAS</t>
  </si>
  <si>
    <t>Angel Negrete</t>
  </si>
  <si>
    <t>1015475044</t>
  </si>
  <si>
    <t>angela  natalia escobar  castro</t>
  </si>
  <si>
    <t>Angela  Natalia Escobar  Castro</t>
  </si>
  <si>
    <t>angela.escobar@brm.com.co</t>
  </si>
  <si>
    <t>ROCA880719R6A</t>
  </si>
  <si>
    <t>ariel rosas colin</t>
  </si>
  <si>
    <t>Ariel Rosas Colin</t>
  </si>
  <si>
    <t>ariel.rosas@brm.lat</t>
  </si>
  <si>
    <t>MICA030425FXA</t>
  </si>
  <si>
    <t>arturo jovan michel  caballero</t>
  </si>
  <si>
    <t>Arturo Jovan Michel Caballero</t>
  </si>
  <si>
    <t>arturo.michel@brm.lat</t>
  </si>
  <si>
    <t>Arturo Caballero</t>
  </si>
  <si>
    <t>Arturo Jovan Michel</t>
  </si>
  <si>
    <t>HELB930528PQ6</t>
  </si>
  <si>
    <t>bernardo herrera lucas</t>
  </si>
  <si>
    <t>WARRANTY</t>
  </si>
  <si>
    <t>Bernardo Herrera Lucas</t>
  </si>
  <si>
    <t>BERNARDO HERRERA LUCAS</t>
  </si>
  <si>
    <t>PECB0204186B4</t>
  </si>
  <si>
    <t>beverly perez carmona</t>
  </si>
  <si>
    <t>Beverly Perez Carmona</t>
  </si>
  <si>
    <t>Beverly Perez</t>
  </si>
  <si>
    <t>BEVERLY PEREZ CARMONA</t>
  </si>
  <si>
    <t>Beberly Perez</t>
  </si>
  <si>
    <t>Beverly Pérez Carmona</t>
  </si>
  <si>
    <t>beverly.perez@brm.lat</t>
  </si>
  <si>
    <t>HEVB960903C82</t>
  </si>
  <si>
    <t>brenda aylin hernandez ventura</t>
  </si>
  <si>
    <t>Brenda Aylin Hernandez Ventura</t>
  </si>
  <si>
    <t>BRENDA AYLIN HERNANDEZ VENTURA</t>
  </si>
  <si>
    <t>Branda Aylin Hernandez Ventura</t>
  </si>
  <si>
    <t>Brenda Hernandez</t>
  </si>
  <si>
    <t>Brenda Aylin Hernández Ventura</t>
  </si>
  <si>
    <t>MOMB940920E68</t>
  </si>
  <si>
    <t>brenda leticia morales munoz</t>
  </si>
  <si>
    <t>FLEET</t>
  </si>
  <si>
    <t>Brenda Leticia Morales Munoz</t>
  </si>
  <si>
    <t>Brenda Leticia Morales Muñoz</t>
  </si>
  <si>
    <t>BRENDA</t>
  </si>
  <si>
    <t>COMC900329TX1</t>
  </si>
  <si>
    <t>carlos francisco contreras moreno</t>
  </si>
  <si>
    <t>PROGRAM MANAGER</t>
  </si>
  <si>
    <t>Carlos Francisco Contreras Moreno</t>
  </si>
  <si>
    <t>carlos.contreras@brm.com.co</t>
  </si>
  <si>
    <t>NACC9505286W9</t>
  </si>
  <si>
    <t>carolina nava cruz</t>
  </si>
  <si>
    <t>PEPSICO</t>
  </si>
  <si>
    <t>Carolina Nava Cruz</t>
  </si>
  <si>
    <t>carolina.nava@brm.com.co</t>
  </si>
  <si>
    <t>OUMC940127JZ8</t>
  </si>
  <si>
    <t>christian gerardo ortuno mayen</t>
  </si>
  <si>
    <t>Christian Gerardo Ortuno Mayen</t>
  </si>
  <si>
    <t>christian.ortuno@brm.lat</t>
  </si>
  <si>
    <t>Christian Ortuno</t>
  </si>
  <si>
    <t>Christian Ortuño</t>
  </si>
  <si>
    <t>LAMC960519QR8</t>
  </si>
  <si>
    <t>citlali lara morales</t>
  </si>
  <si>
    <t>Citlali Lara Morales</t>
  </si>
  <si>
    <t>Citlali Lara</t>
  </si>
  <si>
    <t>Citali Lara Morales</t>
  </si>
  <si>
    <t>MELD991221AV5</t>
  </si>
  <si>
    <t>daniel axel mejia lopez</t>
  </si>
  <si>
    <t>Daniel Axel Mejia Lopez</t>
  </si>
  <si>
    <t>daniel.mejia@brm.lat</t>
  </si>
  <si>
    <t>Daniel Mejia</t>
  </si>
  <si>
    <t>DANIEL MEJIA</t>
  </si>
  <si>
    <t>daniel.mejia@brm.com.co</t>
  </si>
  <si>
    <t>Daniel Mejía</t>
  </si>
  <si>
    <t>SAVD670108S4A</t>
  </si>
  <si>
    <t>Daniel Sanchez Vallejo</t>
  </si>
  <si>
    <t>PDC</t>
  </si>
  <si>
    <t>Daniel Sánchez Vallejo</t>
  </si>
  <si>
    <t>VIGD960720IM4</t>
  </si>
  <si>
    <t>daniel villanueva gonzalez</t>
  </si>
  <si>
    <t>Daniel Villanueva Gonzalez</t>
  </si>
  <si>
    <t>DANIEL VILLANUEVA GONZALEZ</t>
  </si>
  <si>
    <t>GOCD990717AS3</t>
  </si>
  <si>
    <t>dante abraham gonzalez carcamo</t>
  </si>
  <si>
    <t>Dante Abraham Gonzalez Carcamo</t>
  </si>
  <si>
    <t>dante.carcamo@brm.lat</t>
  </si>
  <si>
    <t>CERD7807235L2</t>
  </si>
  <si>
    <t>david daniel cedillo rivera</t>
  </si>
  <si>
    <t>David Daniel Cedillo Rivera</t>
  </si>
  <si>
    <t>david.cedillo@brm.lat</t>
  </si>
  <si>
    <t>David Cedillo</t>
  </si>
  <si>
    <t>DAVID DANIEL CEDILLO RIVERA</t>
  </si>
  <si>
    <t>CADD840914Q56</t>
  </si>
  <si>
    <t>david ricardo camarena diaz</t>
  </si>
  <si>
    <t>David Ricardo Camarena Diaz</t>
  </si>
  <si>
    <t>david.camarena@brm.lat</t>
  </si>
  <si>
    <t>David Camarena</t>
  </si>
  <si>
    <t>David Ricardo Camarena Díaz</t>
  </si>
  <si>
    <t>SILD9507304HA</t>
  </si>
  <si>
    <t>diego silva lerista</t>
  </si>
  <si>
    <t>Diego Silva Lerista</t>
  </si>
  <si>
    <t>diego.silva@brm.lat</t>
  </si>
  <si>
    <t>Diego Lerista</t>
  </si>
  <si>
    <t>AAME930716V5A</t>
  </si>
  <si>
    <t>elizabeth tania anaya martinez</t>
  </si>
  <si>
    <t>Elizabeth Tania Anaya Martinez</t>
  </si>
  <si>
    <t>ELIZABETH TANIA ANAYA MARTINEZ</t>
  </si>
  <si>
    <t>Elizabeth Anaya</t>
  </si>
  <si>
    <t>Elizabeth Tania Anaya Martínez</t>
  </si>
  <si>
    <t>ELIZABETH</t>
  </si>
  <si>
    <t>RODE9405272WA</t>
  </si>
  <si>
    <t>emmy zenyace rodriguez dominguez</t>
  </si>
  <si>
    <t>Emmy Zenyace Rodriguez Dominguez</t>
  </si>
  <si>
    <t>Emmy Rodriguez</t>
  </si>
  <si>
    <t>Emmy Zenyace Rodríguez Domínguez</t>
  </si>
  <si>
    <t>Erika Jacqueline Manzanarez Sotelo</t>
  </si>
  <si>
    <t>MASE970408PN6</t>
  </si>
  <si>
    <t>erika jacqueline manzanarez sotelo</t>
  </si>
  <si>
    <t>Ericka Jacqueline Manzanarez Sotelo</t>
  </si>
  <si>
    <t>ERIKA JACQUELINE MANZANAREZ SOTELO</t>
  </si>
  <si>
    <t>Ericka Jaqueline Manzanarez Sotelo</t>
  </si>
  <si>
    <t>ERIKA</t>
  </si>
  <si>
    <t>Erika Rodríguez Pérez</t>
  </si>
  <si>
    <t>ROPE750902RE8</t>
  </si>
  <si>
    <t>erika rodriguez perez</t>
  </si>
  <si>
    <t>Erika Rodriguez Perez</t>
  </si>
  <si>
    <t>erika.rodriguez@brm.lat</t>
  </si>
  <si>
    <t>Erika Rodriguez</t>
  </si>
  <si>
    <t>HEFE932203E43</t>
  </si>
  <si>
    <t>Evelyn Andrea Hernandez Flores</t>
  </si>
  <si>
    <t>Evelyn Andrea  Hernandez Flores</t>
  </si>
  <si>
    <t>Evelyn Hernandez</t>
  </si>
  <si>
    <t>evelyn.hernandez@brm.lat</t>
  </si>
  <si>
    <t>Evelyn Andrea Hernandez</t>
  </si>
  <si>
    <t>GUAG9805103UA</t>
  </si>
  <si>
    <t>gabriela ahuic guerrero acosta</t>
  </si>
  <si>
    <t>Gabriela Ahuic Guerrero Acosta</t>
  </si>
  <si>
    <t>gabriela.guerrero@brm.lat</t>
  </si>
  <si>
    <t>Gabriela Guerrero</t>
  </si>
  <si>
    <t>HEBG9812126W4</t>
  </si>
  <si>
    <t>guadalupe itzel hernández  baza</t>
  </si>
  <si>
    <t>Guadalupe Itzel Hernández  Baza</t>
  </si>
  <si>
    <t>guadalupe.hernandez@brm.lat</t>
  </si>
  <si>
    <t>Guadalupe Hernandez Baza</t>
  </si>
  <si>
    <t>Guadalupe Baza</t>
  </si>
  <si>
    <t>Guadalupe Hernandez</t>
  </si>
  <si>
    <t>Guadalupe Itzel Hernández baza</t>
  </si>
  <si>
    <t>Hot Alert Mexico Vehicle</t>
  </si>
  <si>
    <t>OTHER</t>
  </si>
  <si>
    <t>COZI930808G27</t>
  </si>
  <si>
    <t>ignacio tonatiuh correa zamora</t>
  </si>
  <si>
    <t>Ignacio Tonatiuh Correa Zamora</t>
  </si>
  <si>
    <t>Ignacio Zamora</t>
  </si>
  <si>
    <t>Ignacion Correa</t>
  </si>
  <si>
    <t>ROMI870125PR2</t>
  </si>
  <si>
    <t>itzel lucia rodriguez medellin</t>
  </si>
  <si>
    <t>Itzel Lucia Rodriguez Medellin</t>
  </si>
  <si>
    <t>Itzel Rodriguez Medellin</t>
  </si>
  <si>
    <t>Itzel Rodriguez Medellín</t>
  </si>
  <si>
    <t>itzel.rodriguez@brm.lat</t>
  </si>
  <si>
    <t>Itzel Rodriguez</t>
  </si>
  <si>
    <t>TOHI950502JJ9</t>
  </si>
  <si>
    <t>itzel torres herrera</t>
  </si>
  <si>
    <t>Itzel Torres Herrera</t>
  </si>
  <si>
    <t>ITZEL</t>
  </si>
  <si>
    <t>JIRJ0305303Y2</t>
  </si>
  <si>
    <t>jacqueline jimeno rosales</t>
  </si>
  <si>
    <t>Jacqueline Jimeno Rosales</t>
  </si>
  <si>
    <t>Jacqueline Jimeno</t>
  </si>
  <si>
    <t>Jaqueline Jimeno</t>
  </si>
  <si>
    <t>MAGJ940620SEA</t>
  </si>
  <si>
    <t>javier martinez garcia</t>
  </si>
  <si>
    <t>Javier Martinez Garcia</t>
  </si>
  <si>
    <t>javier.martinez@brm.com.co</t>
  </si>
  <si>
    <t>Jennifer Trudell</t>
  </si>
  <si>
    <t>BOPJ921127PQ0</t>
  </si>
  <si>
    <t>jessica lorena bonces pardo</t>
  </si>
  <si>
    <t>Jessica Lorena Bonces Pardo</t>
  </si>
  <si>
    <t>jessica.bonces@brm.com.co</t>
  </si>
  <si>
    <t>RUCJ021118JT2</t>
  </si>
  <si>
    <t>jesus armando ruiz cruz</t>
  </si>
  <si>
    <t>Jesus Armando Ruiz Cruz</t>
  </si>
  <si>
    <t>jesus.ruiz@brm.lat</t>
  </si>
  <si>
    <t>Jesus Ruiz</t>
  </si>
  <si>
    <t>Jesús Armando Ruiz</t>
  </si>
  <si>
    <t>GOLJ9503038V9</t>
  </si>
  <si>
    <t>jocelyn odett gomez lerma</t>
  </si>
  <si>
    <t>Jocelyn Odett Gomez Lerma</t>
  </si>
  <si>
    <t>Jocelyn	Lerma</t>
  </si>
  <si>
    <t>AOBJ730421DQ9</t>
  </si>
  <si>
    <t>John Alexander Albornoz Barreto</t>
  </si>
  <si>
    <t>john.albornoz@brm.com.co</t>
  </si>
  <si>
    <t>Jose Perez</t>
  </si>
  <si>
    <t>PECA940416AE6</t>
  </si>
  <si>
    <t>jose armando perez cruz</t>
  </si>
  <si>
    <t>Jose Armando Perez Cruz</t>
  </si>
  <si>
    <t>jose.perez@brm.lat</t>
  </si>
  <si>
    <t>José Armando Pérez Cruz</t>
  </si>
  <si>
    <t>GASD9304145G5</t>
  </si>
  <si>
    <t>jose daniel garrido sanchez</t>
  </si>
  <si>
    <t>Jose Daniel Garrido Sanchez</t>
  </si>
  <si>
    <t>JOSE DANIEL GARRIDO SANCHEZ</t>
  </si>
  <si>
    <t>Jose Garrido</t>
  </si>
  <si>
    <t>ZACM970618N37</t>
  </si>
  <si>
    <t>José Miguel Zavala Chávez</t>
  </si>
  <si>
    <t>Jose Miguel Zavala Chavez</t>
  </si>
  <si>
    <t>Jose Miguel Zavala</t>
  </si>
  <si>
    <t>jose.zavala@brm.lat</t>
  </si>
  <si>
    <t>José Miguel Zavala</t>
  </si>
  <si>
    <t>TIMJ661116DV2</t>
  </si>
  <si>
    <t>Juan Tinoco Manrique</t>
  </si>
  <si>
    <t>juan.tinoco@brm.lat</t>
  </si>
  <si>
    <t>MAHK9112058E6</t>
  </si>
  <si>
    <t>karen viridiana martinez herrera</t>
  </si>
  <si>
    <t>Karen Viridiana Martinez Herrera</t>
  </si>
  <si>
    <t>karen.martinez@brm.com.co</t>
  </si>
  <si>
    <t>RAVK8705083LA</t>
  </si>
  <si>
    <t>karina ramos villagomez</t>
  </si>
  <si>
    <t>Karina Ramos Villagomez</t>
  </si>
  <si>
    <t>Karina Villagomez</t>
  </si>
  <si>
    <t>KARINA RAMOS VILLAGOMEZ</t>
  </si>
  <si>
    <t>Karina Ramos</t>
  </si>
  <si>
    <t>RUOK930423DW7</t>
  </si>
  <si>
    <t>karla  michelle ruiz  oliva</t>
  </si>
  <si>
    <t>Karla  Michelle Ruiz  Oliva</t>
  </si>
  <si>
    <t>karla.ruiz@brm.lat</t>
  </si>
  <si>
    <t>Karla Ruiz</t>
  </si>
  <si>
    <t>Karla Michelle Ruiz Oliva</t>
  </si>
  <si>
    <t>LEGL000203H35</t>
  </si>
  <si>
    <t>litzy yesey leon garcia</t>
  </si>
  <si>
    <t>Litzy Yesey Leon Garcia</t>
  </si>
  <si>
    <t>litsy.leon@brm.lat</t>
  </si>
  <si>
    <t xml:space="preserve">LitzyLeon </t>
  </si>
  <si>
    <t>Litsy Yesey León García</t>
  </si>
  <si>
    <t>Litsy Yesey Leon</t>
  </si>
  <si>
    <t>GIFL911226PW4</t>
  </si>
  <si>
    <t>Lizbeth Gil Francisco</t>
  </si>
  <si>
    <t>FURL9008188J7</t>
  </si>
  <si>
    <t>Luis Alberto Fuentes Ramírez</t>
  </si>
  <si>
    <t>COGL9802101Q6</t>
  </si>
  <si>
    <t>luis daniel cortés gonzález</t>
  </si>
  <si>
    <t>Luis Daniel Cortés González</t>
  </si>
  <si>
    <t>luis.cortes@brm.lat</t>
  </si>
  <si>
    <t>Luis Cortés</t>
  </si>
  <si>
    <t>Luis Daniel Cortes</t>
  </si>
  <si>
    <t>Luis Daniel Cortes Gonzales</t>
  </si>
  <si>
    <t>Luis Daniel Cortès</t>
  </si>
  <si>
    <t>UIGM9212034K4</t>
  </si>
  <si>
    <t>Marco Antonio Uribe García</t>
  </si>
  <si>
    <t>marco.uribe@brm.lat</t>
  </si>
  <si>
    <t>AOGE840609TM0</t>
  </si>
  <si>
    <t>maria  elena arzola  gonzalez</t>
  </si>
  <si>
    <t>Maria  Elena Arzola  Gonzalez</t>
  </si>
  <si>
    <t>MACG880903UY4</t>
  </si>
  <si>
    <t>maria guadalupe martinez contreras</t>
  </si>
  <si>
    <t>Maria Guadalupe Martinez Contreras</t>
  </si>
  <si>
    <t>maria.martinez@brm.com.co</t>
  </si>
  <si>
    <t>Mexico Brand Site</t>
  </si>
  <si>
    <t>Mexico Email</t>
  </si>
  <si>
    <t>FURM810525V51</t>
  </si>
  <si>
    <t>miguel angel fuentes ramirez</t>
  </si>
  <si>
    <t>Miguel Angel Fuentes Ramirez</t>
  </si>
  <si>
    <t>MIGUEL</t>
  </si>
  <si>
    <t>VAHM850827MI0</t>
  </si>
  <si>
    <t>moises valle  hernandez</t>
  </si>
  <si>
    <t>Moises Valle  Hernandez</t>
  </si>
  <si>
    <t>AACM021019358</t>
  </si>
  <si>
    <t>monica magdalena ayala cadena</t>
  </si>
  <si>
    <t>Monica Magdalena Ayala Cadena</t>
  </si>
  <si>
    <t>Monica Magdalen  Ayal Cadena</t>
  </si>
  <si>
    <t>MONICA</t>
  </si>
  <si>
    <t>BEGN940822DRA</t>
  </si>
  <si>
    <t>nallely berber guerrero</t>
  </si>
  <si>
    <t>Nallely Berber Guerrero</t>
  </si>
  <si>
    <t>nallely.berber@brm.com.co</t>
  </si>
  <si>
    <t>nallely.beber@brm.com.co</t>
  </si>
  <si>
    <t>ROMN830308L40</t>
  </si>
  <si>
    <t>norma angelica rosales munoz</t>
  </si>
  <si>
    <t>Norma Angelica Rosales Munoz</t>
  </si>
  <si>
    <t>NORMA ANGELICA ROSALES MUÑOZ</t>
  </si>
  <si>
    <t>Norma Angelica Rosales Muñoz</t>
  </si>
  <si>
    <t>Norma Rosales</t>
  </si>
  <si>
    <t>Norma Angélica Rosales Muñoz</t>
  </si>
  <si>
    <t>GUGO770211SS7</t>
  </si>
  <si>
    <t>omar guerrero garcia</t>
  </si>
  <si>
    <t>Omar Guerrero Garcia</t>
  </si>
  <si>
    <t>omar.guerrero@brm.lat</t>
  </si>
  <si>
    <t>omar.guerrero@brm.com.co</t>
  </si>
  <si>
    <t>RUOP980129CI0</t>
  </si>
  <si>
    <t>patricia joseline ruiz  olvia</t>
  </si>
  <si>
    <t>Patricia Joseline Ruiz Olvia</t>
  </si>
  <si>
    <t>patricia.ruiz@brm.lat</t>
  </si>
  <si>
    <t>Joseline Oliva</t>
  </si>
  <si>
    <t>Joseline	Oliva</t>
  </si>
  <si>
    <t>Patricia Joselineruiz Oliva</t>
  </si>
  <si>
    <t>Patricia Joseline Ruiz</t>
  </si>
  <si>
    <t>Peugeot Brand Site Closed Case Queue</t>
  </si>
  <si>
    <t>6A</t>
  </si>
  <si>
    <t>Phoebe Del Rosario</t>
  </si>
  <si>
    <t>PHOEBE DEL ROSARIO</t>
  </si>
  <si>
    <t>Recalls with Parts not available USA</t>
  </si>
  <si>
    <t>Recalls With Parts Not Available Usa</t>
  </si>
  <si>
    <t>CAHR900317HC7</t>
  </si>
  <si>
    <t>Roberto Camilo Hernández</t>
  </si>
  <si>
    <t>VACR9111201Z9</t>
  </si>
  <si>
    <t>ricardo  antonio vazquez chavez</t>
  </si>
  <si>
    <t>Ricardo Antonio Vazquez Chavez</t>
  </si>
  <si>
    <t>Ricardo Vazquez</t>
  </si>
  <si>
    <t>Ricardo Antonio Vazquez</t>
  </si>
  <si>
    <t>MAPS941230FE08</t>
  </si>
  <si>
    <t>sergio alberto martinez padilla</t>
  </si>
  <si>
    <t>Sergio Alberto Martinez Padilla</t>
  </si>
  <si>
    <t>Sergio Alberto  Martinez Padillav</t>
  </si>
  <si>
    <t>Sergio Martinez</t>
  </si>
  <si>
    <t>sergio.martinez@brm.lat</t>
  </si>
  <si>
    <t>Sergio Alberto Martinez</t>
  </si>
  <si>
    <t>Shayne Belle Bamboa</t>
  </si>
  <si>
    <t>Stellantis Peugeot Site Guest User</t>
  </si>
  <si>
    <t>Test CC Mexico Sup L1</t>
  </si>
  <si>
    <t>Test Cc Mexico Sup L1</t>
  </si>
  <si>
    <t>Tuyo Isaza</t>
  </si>
  <si>
    <t>tuyo.isaza@brm.com.co</t>
  </si>
  <si>
    <t>AAEV960806RYA</t>
  </si>
  <si>
    <t>valeria alvarez estrella</t>
  </si>
  <si>
    <t>Valeria Alvarez Estrella</t>
  </si>
  <si>
    <t>valeria.alvarez@brm.com.co</t>
  </si>
  <si>
    <t>AAPY811010LJA</t>
  </si>
  <si>
    <t>yoana alvarez perez</t>
  </si>
  <si>
    <t>Yoana Alvarez Perez</t>
  </si>
  <si>
    <t>Yoana Perez</t>
  </si>
  <si>
    <t>YOANA ALVAREZ PEREZ</t>
  </si>
  <si>
    <t>Yoana Álvarez Pérez</t>
  </si>
  <si>
    <t>SAAY841006C99</t>
  </si>
  <si>
    <t>yuridia saldivar arriaga</t>
  </si>
  <si>
    <t>Yuridia Saldivar Arriaga</t>
  </si>
  <si>
    <t>yuridia.saldivar@brm.lat</t>
  </si>
  <si>
    <t>Fecha Ingreso</t>
  </si>
  <si>
    <t>RFC</t>
  </si>
  <si>
    <t>PAMD9909214N2</t>
  </si>
  <si>
    <t>DICA9609116S6</t>
  </si>
  <si>
    <t>HUCL940609PB1</t>
  </si>
  <si>
    <t>LEMG7409013B7</t>
  </si>
  <si>
    <t>RETS9412067Q3</t>
  </si>
  <si>
    <t>AUFJ951026IQ6</t>
  </si>
  <si>
    <t>SIMJ890303523</t>
  </si>
  <si>
    <t>GAHL611052H4</t>
  </si>
  <si>
    <t>LEMB8807042U1</t>
  </si>
  <si>
    <t>SOPJ941004890</t>
  </si>
  <si>
    <t>EISL980413SC8</t>
  </si>
  <si>
    <t>EDOLE830703Q17</t>
  </si>
  <si>
    <t>JIMA910723H2A</t>
  </si>
  <si>
    <t>GOMV870722IY4</t>
  </si>
  <si>
    <t>GASA941227PR5</t>
  </si>
  <si>
    <t>PEHR000622171</t>
  </si>
  <si>
    <t>LOOT6708085W0</t>
  </si>
  <si>
    <t>MOMC980814EA8</t>
  </si>
  <si>
    <t>BEML920128B7</t>
  </si>
  <si>
    <t>RATX9504015SA</t>
  </si>
  <si>
    <t>SUAL930308SN7</t>
  </si>
  <si>
    <t>AISC910309J21</t>
  </si>
  <si>
    <t>GUBJ900106TK1</t>
  </si>
  <si>
    <t>PEAL830606PL9</t>
  </si>
  <si>
    <t>MORL9209029B8</t>
  </si>
  <si>
    <t>MARG931106FI3</t>
  </si>
  <si>
    <t>LOAN960221CH6</t>
  </si>
  <si>
    <t>MUSJ970618DM3</t>
  </si>
  <si>
    <t>EIPV870313JK1</t>
  </si>
  <si>
    <t>DOLN880328LWA</t>
  </si>
  <si>
    <t>EIRO890102695</t>
  </si>
  <si>
    <t>CABD970725796</t>
  </si>
  <si>
    <t>AOSS930821438</t>
  </si>
  <si>
    <t>CEDM720904-426</t>
  </si>
  <si>
    <t>LEPE780503FK1</t>
  </si>
  <si>
    <t>SANJ741121DH9</t>
  </si>
  <si>
    <t>FELB8104048E4</t>
  </si>
  <si>
    <t>RONC851018CR2</t>
  </si>
  <si>
    <t>GOBA900211HDFNLN09</t>
  </si>
  <si>
    <t>AAJL930828137</t>
  </si>
  <si>
    <t>TECJ870529I65</t>
  </si>
  <si>
    <t>CAXR860524AK1</t>
  </si>
  <si>
    <t>GASA030404356</t>
  </si>
  <si>
    <t>CALD990927C57</t>
  </si>
  <si>
    <t>TUAK931104QY7</t>
  </si>
  <si>
    <t>RICP820317FE4</t>
  </si>
  <si>
    <t>JISA970118NN0</t>
  </si>
  <si>
    <t>SAMD980915EQA</t>
  </si>
  <si>
    <t>GAAE7708089X8</t>
  </si>
  <si>
    <t>BUGA840816EW9</t>
  </si>
  <si>
    <t>AAPT71O6109C2</t>
  </si>
  <si>
    <t>MOJE950927E76</t>
  </si>
  <si>
    <t>ROSA8912086J8</t>
  </si>
  <si>
    <t>MEPK7606037P5</t>
  </si>
  <si>
    <t>EICJ9112185F3</t>
  </si>
  <si>
    <t>SUND780704B70</t>
  </si>
  <si>
    <t>IASL811031CK2</t>
  </si>
  <si>
    <t>HERR021105MX6</t>
  </si>
  <si>
    <t>FEGR0106237E1</t>
  </si>
  <si>
    <t>MABL9008255N0</t>
  </si>
  <si>
    <t>AIHE910423HDFRRR09</t>
  </si>
  <si>
    <t>EUPR941121HDFSRB08</t>
  </si>
  <si>
    <t>FANA871207MDFLYD01</t>
  </si>
  <si>
    <t>GOMN891221MDFMYZ03</t>
  </si>
  <si>
    <t>GOMV910123HDFNNC08</t>
  </si>
  <si>
    <t>LANT900402MDFNCN07</t>
  </si>
  <si>
    <t>LIBS830810MVZMLR02</t>
  </si>
  <si>
    <t>LONE871226MDFPNR05</t>
  </si>
  <si>
    <t>LOSA980629HDFPNL04</t>
  </si>
  <si>
    <t>CALB00012HDFRMRA4</t>
  </si>
  <si>
    <t>MAMM9508035T9</t>
  </si>
  <si>
    <t>ZEVM961222FRA</t>
  </si>
  <si>
    <t>SAMP9601121P8</t>
  </si>
  <si>
    <t>AERP8312122CA</t>
  </si>
  <si>
    <t>RUAH860721I32</t>
  </si>
  <si>
    <t>IAPN790416661</t>
  </si>
  <si>
    <t>JACA781019NE9</t>
  </si>
  <si>
    <t>Fecha de contratacion</t>
  </si>
  <si>
    <t>Fecha de retiro</t>
  </si>
  <si>
    <t>#N/A</t>
  </si>
  <si>
    <t>02/05/2022</t>
  </si>
  <si>
    <t>01/08/2023</t>
  </si>
  <si>
    <t>03/03/2025</t>
  </si>
  <si>
    <t>12/04/2023</t>
  </si>
  <si>
    <t>07/04/2025</t>
  </si>
  <si>
    <t>11/08/2025</t>
  </si>
  <si>
    <t>Null</t>
  </si>
  <si>
    <t>01/05/2023</t>
  </si>
  <si>
    <t>01/06/2021</t>
  </si>
  <si>
    <t>11/10/2021</t>
  </si>
  <si>
    <t>23/12/2021</t>
  </si>
  <si>
    <t>20/06/2022</t>
  </si>
  <si>
    <t>01/09/2022</t>
  </si>
  <si>
    <t>24/01/2023</t>
  </si>
  <si>
    <t>22/03/2023</t>
  </si>
  <si>
    <t>18/04/2023</t>
  </si>
  <si>
    <t>05/05/2023</t>
  </si>
  <si>
    <t>08/05/2023</t>
  </si>
  <si>
    <t>06/07/2023</t>
  </si>
  <si>
    <t>23/04/2025</t>
  </si>
  <si>
    <t>17/07/2023</t>
  </si>
  <si>
    <t>07/08/2024</t>
  </si>
  <si>
    <t>01/09/2023</t>
  </si>
  <si>
    <t>03/10/2023</t>
  </si>
  <si>
    <t>01/11/2023</t>
  </si>
  <si>
    <t>11/12/2023</t>
  </si>
  <si>
    <t>12/12/2023</t>
  </si>
  <si>
    <t>15/01/2024</t>
  </si>
  <si>
    <t>04/03/2024</t>
  </si>
  <si>
    <t>20/05/2024</t>
  </si>
  <si>
    <t>09/09/2024</t>
  </si>
  <si>
    <t>04/05/2023</t>
  </si>
  <si>
    <t>26/06/2023</t>
  </si>
  <si>
    <t>02/10/2024</t>
  </si>
  <si>
    <t>01/08/2024</t>
  </si>
  <si>
    <t>09/05/2024</t>
  </si>
  <si>
    <t>02/10/2023</t>
  </si>
  <si>
    <t>05/02/2025</t>
  </si>
  <si>
    <t>19/05/2025</t>
  </si>
  <si>
    <t>24/03/2025</t>
  </si>
  <si>
    <t>16/07/2025</t>
  </si>
  <si>
    <t>22/09/2025</t>
  </si>
  <si>
    <t>06/10/2025</t>
  </si>
  <si>
    <t>20/10/2025</t>
  </si>
  <si>
    <t>Estado</t>
  </si>
  <si>
    <t>Marco García</t>
  </si>
  <si>
    <t>Dante González</t>
  </si>
  <si>
    <t>Nivel</t>
  </si>
  <si>
    <t>BIL</t>
  </si>
  <si>
    <t>L2</t>
  </si>
  <si>
    <t>pedro saenz martinez</t>
  </si>
  <si>
    <t>Pedro Saenz Martinez</t>
  </si>
  <si>
    <t>pedro.saenz@brm.lat</t>
  </si>
  <si>
    <t>451-max574</t>
  </si>
  <si>
    <t>Vista Dash</t>
  </si>
  <si>
    <t>Lider</t>
  </si>
  <si>
    <t>Agente</t>
  </si>
  <si>
    <t>Manager</t>
  </si>
  <si>
    <t>Directivo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</si>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</sst>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Lexend"/>
    </font>
    <font>
      <b/>
      <u/>
      <sz val="11"/>
      <color theme="1"/>
      <name val="Lexend"/>
    </font>
    <font>
      <sz val="11"/>
      <color theme="1"/>
      <name val="Lexend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44">
    <xf numFmtId="0" fontId="0" fillId="0" borderId="0" xfId="0"/>
    <xf numFmtId="49" fontId="1" fillId="3" borderId="0" xfId="0" applyNumberFormat="1" applyFont="1" applyFill="1"/>
    <xf numFmtId="0" fontId="1" fillId="3" borderId="0" xfId="0" applyFont="1" applyFill="1"/>
    <xf numFmtId="0" fontId="0" fillId="0" borderId="0" xfId="0"/>
    <xf numFmtId="0" fontId="2" fillId="0" borderId="0" xfId="0" applyNumberFormat="1" applyFont="1" applyFill="1" applyBorder="1" applyAlignment="1" applyProtection="1"/>
    <xf numFmtId="0" fontId="0" fillId="0" borderId="0" xfId="0" applyNumberFormat="1"/>
    <xf numFmtId="49" fontId="0" fillId="0" borderId="0" xfId="0" applyNumberFormat="1"/>
    <xf numFmtId="0" fontId="0" fillId="2" borderId="0" xfId="0" applyFont="1" applyFill="1" applyBorder="1"/>
    <xf numFmtId="0" fontId="0" fillId="0" borderId="0" xfId="0" applyBorder="1"/>
    <xf numFmtId="0" fontId="0" fillId="0" borderId="1" xfId="0" applyBorder="1"/>
    <xf numFmtId="0" fontId="1" fillId="3" borderId="0" xfId="0" applyFont="1" applyFill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2" xfId="0" applyBorder="1"/>
    <xf numFmtId="0" fontId="3" fillId="0" borderId="0" xfId="0" applyFont="1"/>
    <xf numFmtId="0" fontId="2" fillId="0" borderId="2" xfId="0" applyNumberFormat="1" applyFont="1" applyFill="1" applyBorder="1" applyAlignment="1" applyProtection="1"/>
    <xf numFmtId="49" fontId="0" fillId="0" borderId="2" xfId="0" applyNumberFormat="1" applyBorder="1"/>
    <xf numFmtId="0" fontId="2" fillId="0" borderId="1" xfId="0" applyNumberFormat="1" applyFont="1" applyFill="1" applyBorder="1" applyAlignment="1" applyProtection="1"/>
    <xf numFmtId="0" fontId="3" fillId="0" borderId="1" xfId="0" applyFont="1" applyBorder="1"/>
    <xf numFmtId="0" fontId="4" fillId="0" borderId="0" xfId="1"/>
    <xf numFmtId="0" fontId="0" fillId="0" borderId="0" xfId="0" applyFill="1" applyBorder="1"/>
    <xf numFmtId="0" fontId="5" fillId="0" borderId="0" xfId="0" applyFont="1"/>
    <xf numFmtId="0" fontId="3" fillId="0" borderId="0" xfId="0" applyFont="1" applyBorder="1"/>
    <xf numFmtId="0" fontId="0" fillId="2" borderId="0" xfId="0" applyNumberFormat="1" applyFont="1" applyFill="1" applyBorder="1"/>
    <xf numFmtId="0" fontId="5" fillId="2" borderId="1" xfId="0" applyFont="1" applyFill="1" applyBorder="1"/>
    <xf numFmtId="0" fontId="6" fillId="0" borderId="0" xfId="1" applyNumberFormat="1" applyFont="1" applyFill="1" applyBorder="1" applyAlignment="1" applyProtection="1"/>
    <xf numFmtId="49" fontId="0" fillId="0" borderId="1" xfId="0" applyNumberFormat="1" applyBorder="1"/>
    <xf numFmtId="0" fontId="0" fillId="0" borderId="0" xfId="0" applyFont="1"/>
    <xf numFmtId="0" fontId="0" fillId="0" borderId="0" xfId="0" applyNumberFormat="1" applyFont="1"/>
    <xf numFmtId="0" fontId="0" fillId="4" borderId="3" xfId="0" applyNumberFormat="1" applyFont="1" applyFill="1" applyBorder="1"/>
    <xf numFmtId="0" fontId="0" fillId="5" borderId="3" xfId="0" applyNumberFormat="1" applyFont="1" applyFill="1" applyBorder="1"/>
    <xf numFmtId="49" fontId="9" fillId="7" borderId="4" xfId="2" applyNumberFormat="1" applyFont="1" applyFill="1" applyBorder="1" applyAlignment="1">
      <alignment horizontal="center"/>
    </xf>
    <xf numFmtId="49" fontId="10" fillId="0" borderId="5" xfId="2" applyNumberFormat="1" applyFont="1" applyBorder="1" applyAlignment="1">
      <alignment horizontal="center"/>
    </xf>
    <xf numFmtId="49" fontId="8" fillId="0" borderId="5" xfId="2" applyNumberFormat="1" applyFont="1" applyBorder="1" applyAlignment="1">
      <alignment horizontal="center"/>
    </xf>
    <xf numFmtId="49" fontId="10" fillId="0" borderId="0" xfId="2" applyNumberFormat="1" applyFont="1" applyAlignment="1">
      <alignment horizontal="center"/>
    </xf>
    <xf numFmtId="14" fontId="0" fillId="2" borderId="0" xfId="0" applyNumberFormat="1" applyFont="1" applyFill="1" applyBorder="1"/>
    <xf numFmtId="0" fontId="8" fillId="6" borderId="0" xfId="2" applyFont="1" applyFill="1" applyAlignment="1">
      <alignment horizontal="center"/>
    </xf>
    <xf numFmtId="164" fontId="8" fillId="6" borderId="0" xfId="2" applyNumberFormat="1" applyFont="1" applyFill="1" applyAlignment="1">
      <alignment horizontal="center"/>
    </xf>
    <xf numFmtId="164" fontId="10" fillId="0" borderId="5" xfId="2" applyNumberFormat="1" applyFont="1" applyBorder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  <xf numFmtId="0" fontId="5" fillId="2" borderId="0" xfId="0" applyFont="1" applyFill="1" applyBorder="1"/>
    <xf numFmtId="0" fontId="0" fillId="4" borderId="0" xfId="0" applyNumberFormat="1" applyFont="1" applyFill="1" applyBorder="1"/>
    <xf numFmtId="49" fontId="0" fillId="2" borderId="2" xfId="0" applyNumberFormat="1" applyFont="1" applyFill="1" applyBorder="1"/>
    <xf numFmtId="49" fontId="0" fillId="0" borderId="0" xfId="0" applyNumberFormat="1" applyBorder="1"/>
  </cellXfs>
  <cellStyles count="3">
    <cellStyle name="Hipervínculo" xfId="1" builtinId="8"/>
    <cellStyle name="Normal" xfId="0" builtinId="0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en.martinez@brm.com.co" TargetMode="External"/><Relationship Id="rId13" Type="http://schemas.openxmlformats.org/officeDocument/2006/relationships/hyperlink" Target="mailto:gabriela.guerrero@brm.lat" TargetMode="External"/><Relationship Id="rId18" Type="http://schemas.openxmlformats.org/officeDocument/2006/relationships/hyperlink" Target="mailto:christian.ortuno@brm.lat" TargetMode="External"/><Relationship Id="rId3" Type="http://schemas.openxmlformats.org/officeDocument/2006/relationships/hyperlink" Target="mailto:jessica.bonces@brm.com.co" TargetMode="External"/><Relationship Id="rId21" Type="http://schemas.openxmlformats.org/officeDocument/2006/relationships/hyperlink" Target="mailto:david.camarena@brm.lat" TargetMode="External"/><Relationship Id="rId7" Type="http://schemas.openxmlformats.org/officeDocument/2006/relationships/hyperlink" Target="mailto:javier.martinez@brm.com.co" TargetMode="External"/><Relationship Id="rId12" Type="http://schemas.openxmlformats.org/officeDocument/2006/relationships/hyperlink" Target="mailto:nallely.berber@brm.com.co" TargetMode="External"/><Relationship Id="rId17" Type="http://schemas.openxmlformats.org/officeDocument/2006/relationships/hyperlink" Target="mailto:angela.escobar@brm.com.co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omar.guerrero@brm.lat" TargetMode="External"/><Relationship Id="rId16" Type="http://schemas.openxmlformats.org/officeDocument/2006/relationships/hyperlink" Target="mailto:luis.cortes@brm.lat" TargetMode="External"/><Relationship Id="rId20" Type="http://schemas.openxmlformats.org/officeDocument/2006/relationships/hyperlink" Target="mailto:aldo.rodriguez@brm.lat" TargetMode="External"/><Relationship Id="rId1" Type="http://schemas.openxmlformats.org/officeDocument/2006/relationships/hyperlink" Target="mailto:john.albornoz@brm.com.co" TargetMode="External"/><Relationship Id="rId6" Type="http://schemas.openxmlformats.org/officeDocument/2006/relationships/hyperlink" Target="mailto:carolina.nava@brm.com.co" TargetMode="External"/><Relationship Id="rId11" Type="http://schemas.openxmlformats.org/officeDocument/2006/relationships/hyperlink" Target="mailto:maria.martinez@brm.com.co" TargetMode="External"/><Relationship Id="rId24" Type="http://schemas.openxmlformats.org/officeDocument/2006/relationships/hyperlink" Target="mailto:ana.molina@brm.lat" TargetMode="External"/><Relationship Id="rId5" Type="http://schemas.openxmlformats.org/officeDocument/2006/relationships/hyperlink" Target="mailto:valeria.alvarez@brm.com.co" TargetMode="External"/><Relationship Id="rId15" Type="http://schemas.openxmlformats.org/officeDocument/2006/relationships/hyperlink" Target="mailto:guadalupe.hernandez@brm.lat" TargetMode="External"/><Relationship Id="rId23" Type="http://schemas.openxmlformats.org/officeDocument/2006/relationships/hyperlink" Target="mailto:ana.molina@brm.lat" TargetMode="External"/><Relationship Id="rId10" Type="http://schemas.openxmlformats.org/officeDocument/2006/relationships/hyperlink" Target="mailto:daniel.mejia@brm.lat" TargetMode="External"/><Relationship Id="rId19" Type="http://schemas.openxmlformats.org/officeDocument/2006/relationships/hyperlink" Target="mailto:erika.rodriguez@brm.lat" TargetMode="External"/><Relationship Id="rId4" Type="http://schemas.openxmlformats.org/officeDocument/2006/relationships/hyperlink" Target="mailto:carlos.contreras@brm.com.co" TargetMode="External"/><Relationship Id="rId9" Type="http://schemas.openxmlformats.org/officeDocument/2006/relationships/hyperlink" Target="mailto:jose.perez@brm.lat" TargetMode="External"/><Relationship Id="rId14" Type="http://schemas.openxmlformats.org/officeDocument/2006/relationships/hyperlink" Target="mailto:karla.ruiz@brm.lat" TargetMode="External"/><Relationship Id="rId22" Type="http://schemas.openxmlformats.org/officeDocument/2006/relationships/hyperlink" Target="mailto:david.cedillo@brm.l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1" topLeftCell="A2" activePane="bottomLeft" state="frozen"/>
      <selection pane="bottomLeft" activeCell="Q4" sqref="Q4"/>
    </sheetView>
  </sheetViews>
  <sheetFormatPr baseColWidth="10" defaultRowHeight="14.5"/>
  <cols>
    <col min="3" max="3" width="10.90625" style="3"/>
    <col min="5" max="5" width="10.90625" style="3"/>
    <col min="6" max="6" width="11.1796875" style="3" bestFit="1" customWidth="1"/>
    <col min="7" max="14" width="0" hidden="1" customWidth="1"/>
    <col min="16" max="16" width="10.90625" style="3"/>
  </cols>
  <sheetData>
    <row r="1" spans="1:20">
      <c r="A1" s="1" t="s">
        <v>0</v>
      </c>
      <c r="B1" s="2" t="s">
        <v>1</v>
      </c>
      <c r="C1" s="10" t="s">
        <v>504</v>
      </c>
      <c r="D1" s="2" t="s">
        <v>2</v>
      </c>
      <c r="E1" s="10" t="s">
        <v>375</v>
      </c>
      <c r="F1" s="10" t="s">
        <v>455</v>
      </c>
      <c r="G1" s="2" t="s">
        <v>3</v>
      </c>
      <c r="H1" s="2" t="s">
        <v>4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501</v>
      </c>
      <c r="P1" s="1" t="s">
        <v>511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>
      <c r="A2" s="7" t="s">
        <v>15</v>
      </c>
      <c r="B2" s="7" t="s">
        <v>16</v>
      </c>
      <c r="C2" s="7" t="s">
        <v>506</v>
      </c>
      <c r="D2" s="7" t="s">
        <v>17</v>
      </c>
      <c r="E2" s="7" t="str">
        <f>VLOOKUP(A2,Hoja2!A:C,2,FALSE)</f>
        <v>19/05/2025</v>
      </c>
      <c r="F2" s="35">
        <f>VLOOKUP(A2,Hoja2!A:C,3,FALSE)</f>
        <v>45835</v>
      </c>
      <c r="G2" s="3" t="s">
        <v>18</v>
      </c>
      <c r="H2" s="3">
        <v>408</v>
      </c>
      <c r="I2" s="3" t="s">
        <v>18</v>
      </c>
      <c r="J2" s="3"/>
      <c r="K2" s="3" t="s">
        <v>18</v>
      </c>
      <c r="L2" s="3">
        <v>218</v>
      </c>
      <c r="M2" s="4">
        <v>220</v>
      </c>
      <c r="N2" s="4">
        <v>222</v>
      </c>
      <c r="O2" s="7" t="s">
        <v>19</v>
      </c>
      <c r="P2" s="7" t="s">
        <v>19</v>
      </c>
      <c r="Q2" s="3">
        <v>226</v>
      </c>
      <c r="R2" s="4" t="s">
        <v>20</v>
      </c>
      <c r="S2" s="4">
        <v>396</v>
      </c>
      <c r="T2" s="3">
        <v>504</v>
      </c>
    </row>
    <row r="3" spans="1:20">
      <c r="A3" s="8" t="s">
        <v>21</v>
      </c>
      <c r="B3" s="8" t="s">
        <v>22</v>
      </c>
      <c r="C3" s="8" t="s">
        <v>187</v>
      </c>
      <c r="D3" s="8" t="s">
        <v>23</v>
      </c>
      <c r="E3" s="7" t="str">
        <f>VLOOKUP(A3,Hoja2!A:C,2,FALSE)</f>
        <v>05/05/2023</v>
      </c>
      <c r="F3" s="35">
        <v>36893</v>
      </c>
      <c r="G3" s="3" t="s">
        <v>24</v>
      </c>
      <c r="H3" s="19" t="s">
        <v>25</v>
      </c>
      <c r="I3" s="4" t="s">
        <v>26</v>
      </c>
      <c r="J3" s="3" t="s">
        <v>27</v>
      </c>
      <c r="K3" s="3">
        <v>8</v>
      </c>
      <c r="L3" s="3">
        <v>51</v>
      </c>
      <c r="M3" s="3">
        <v>69</v>
      </c>
      <c r="N3" s="3">
        <v>69</v>
      </c>
      <c r="O3" s="8" t="s">
        <v>19</v>
      </c>
      <c r="P3" s="7" t="s">
        <v>19</v>
      </c>
      <c r="Q3" s="3">
        <v>155</v>
      </c>
      <c r="R3" s="3" t="s">
        <v>25</v>
      </c>
      <c r="S3" s="4">
        <v>397</v>
      </c>
      <c r="T3" s="3">
        <v>505</v>
      </c>
    </row>
    <row r="4" spans="1:20">
      <c r="A4" s="4" t="s">
        <v>28</v>
      </c>
      <c r="B4" s="8" t="s">
        <v>29</v>
      </c>
      <c r="C4" s="20" t="s">
        <v>506</v>
      </c>
      <c r="D4" s="8" t="s">
        <v>30</v>
      </c>
      <c r="E4" s="35">
        <f>VLOOKUP(A4,Hoja2!A:C,2,FALSE)</f>
        <v>45271</v>
      </c>
      <c r="F4" s="35">
        <v>45980</v>
      </c>
      <c r="G4" s="3" t="s">
        <v>31</v>
      </c>
      <c r="H4" s="3">
        <v>409</v>
      </c>
      <c r="I4" s="3">
        <v>93</v>
      </c>
      <c r="J4" s="3"/>
      <c r="K4" s="3">
        <v>99</v>
      </c>
      <c r="L4" s="3">
        <v>111</v>
      </c>
      <c r="M4" s="4">
        <v>105</v>
      </c>
      <c r="N4" s="4">
        <v>105</v>
      </c>
      <c r="O4" s="4" t="s">
        <v>19</v>
      </c>
      <c r="P4" s="7" t="s">
        <v>19</v>
      </c>
      <c r="Q4" s="21">
        <v>169</v>
      </c>
      <c r="R4" s="4">
        <v>210</v>
      </c>
      <c r="S4" s="4">
        <v>398</v>
      </c>
      <c r="T4" s="3">
        <v>506</v>
      </c>
    </row>
    <row r="5" spans="1:20">
      <c r="A5" s="5" t="s">
        <v>33</v>
      </c>
      <c r="B5" s="5" t="s">
        <v>34</v>
      </c>
      <c r="C5" s="7" t="s">
        <v>506</v>
      </c>
      <c r="D5" s="8" t="s">
        <v>17</v>
      </c>
      <c r="E5" s="7" t="str">
        <f>VLOOKUP(A5,Hoja2!A:C,2,FALSE)</f>
        <v>22/09/2025</v>
      </c>
      <c r="F5" s="35"/>
      <c r="G5" s="3" t="s">
        <v>35</v>
      </c>
      <c r="H5" s="25" t="s">
        <v>36</v>
      </c>
      <c r="I5" s="3" t="s">
        <v>35</v>
      </c>
      <c r="J5" s="3"/>
      <c r="K5" s="3" t="s">
        <v>35</v>
      </c>
      <c r="L5" s="3" t="s">
        <v>37</v>
      </c>
      <c r="M5" s="4" t="s">
        <v>35</v>
      </c>
      <c r="N5" s="4" t="s">
        <v>35</v>
      </c>
      <c r="O5" s="5" t="s">
        <v>32</v>
      </c>
      <c r="P5" s="5" t="s">
        <v>513</v>
      </c>
      <c r="Q5" s="3" t="s">
        <v>35</v>
      </c>
      <c r="R5" s="25" t="s">
        <v>36</v>
      </c>
      <c r="S5" s="4">
        <v>508</v>
      </c>
      <c r="T5" s="29" t="s">
        <v>38</v>
      </c>
    </row>
    <row r="6" spans="1:20">
      <c r="A6" s="3" t="s">
        <v>39</v>
      </c>
      <c r="B6" s="3" t="s">
        <v>40</v>
      </c>
      <c r="C6" s="7" t="s">
        <v>506</v>
      </c>
      <c r="D6" s="27" t="s">
        <v>17</v>
      </c>
      <c r="E6" s="7" t="str">
        <f>VLOOKUP(A6,Hoja2!A:C,2,FALSE)</f>
        <v>12/04/2023</v>
      </c>
      <c r="F6" s="35"/>
      <c r="G6" s="3" t="s">
        <v>41</v>
      </c>
      <c r="H6" s="3">
        <v>410</v>
      </c>
      <c r="I6" s="3" t="s">
        <v>41</v>
      </c>
      <c r="J6" s="3" t="s">
        <v>42</v>
      </c>
      <c r="K6" s="4" t="s">
        <v>41</v>
      </c>
      <c r="L6" s="4" t="s">
        <v>43</v>
      </c>
      <c r="M6" s="4" t="s">
        <v>41</v>
      </c>
      <c r="N6" s="4" t="s">
        <v>41</v>
      </c>
      <c r="O6" s="3" t="s">
        <v>32</v>
      </c>
      <c r="P6" s="4" t="s">
        <v>512</v>
      </c>
      <c r="Q6" s="4" t="s">
        <v>41</v>
      </c>
      <c r="R6" s="3">
        <v>175</v>
      </c>
      <c r="S6" s="4">
        <v>399</v>
      </c>
      <c r="T6" s="29" t="s">
        <v>41</v>
      </c>
    </row>
    <row r="7" spans="1:20">
      <c r="A7" s="7" t="s">
        <v>44</v>
      </c>
      <c r="B7" s="7" t="s">
        <v>45</v>
      </c>
      <c r="C7" s="8" t="s">
        <v>187</v>
      </c>
      <c r="D7" s="7" t="s">
        <v>23</v>
      </c>
      <c r="E7" s="35">
        <v>45538</v>
      </c>
      <c r="F7" s="35"/>
      <c r="G7" s="3" t="s">
        <v>46</v>
      </c>
      <c r="H7" s="19" t="s">
        <v>47</v>
      </c>
      <c r="I7" s="3">
        <v>290</v>
      </c>
      <c r="J7" s="3"/>
      <c r="K7" s="3">
        <v>291</v>
      </c>
      <c r="L7" s="3">
        <v>292</v>
      </c>
      <c r="M7" s="3">
        <v>293</v>
      </c>
      <c r="N7" s="3">
        <v>294</v>
      </c>
      <c r="O7" s="7" t="s">
        <v>32</v>
      </c>
      <c r="P7" s="7" t="s">
        <v>516</v>
      </c>
      <c r="Q7" s="3">
        <v>296</v>
      </c>
      <c r="R7" s="3" t="s">
        <v>47</v>
      </c>
      <c r="S7" s="4">
        <v>400</v>
      </c>
      <c r="T7" s="3">
        <v>507</v>
      </c>
    </row>
    <row r="8" spans="1:20">
      <c r="A8" s="6" t="s">
        <v>48</v>
      </c>
      <c r="B8" s="7" t="s">
        <v>49</v>
      </c>
      <c r="C8" s="7" t="s">
        <v>506</v>
      </c>
      <c r="D8" s="7" t="s">
        <v>17</v>
      </c>
      <c r="E8" s="7" t="str">
        <f>VLOOKUP(A8,Hoja2!A:C,2,FALSE)</f>
        <v>24/03/2025</v>
      </c>
      <c r="F8" s="35"/>
      <c r="G8" s="3" t="s">
        <v>50</v>
      </c>
      <c r="H8" s="20">
        <v>411</v>
      </c>
      <c r="I8" s="3" t="s">
        <v>50</v>
      </c>
      <c r="J8" s="3"/>
      <c r="K8" s="4" t="s">
        <v>50</v>
      </c>
      <c r="L8" s="4" t="s">
        <v>50</v>
      </c>
      <c r="M8" s="4" t="s">
        <v>50</v>
      </c>
      <c r="N8" s="4" t="s">
        <v>50</v>
      </c>
      <c r="O8" s="6" t="s">
        <v>32</v>
      </c>
      <c r="P8" s="6" t="s">
        <v>513</v>
      </c>
      <c r="Q8" s="4" t="s">
        <v>50</v>
      </c>
      <c r="R8" s="3" t="s">
        <v>51</v>
      </c>
      <c r="S8" s="4">
        <v>401</v>
      </c>
      <c r="T8" s="30" t="s">
        <v>50</v>
      </c>
    </row>
    <row r="9" spans="1:20">
      <c r="A9" s="5" t="s">
        <v>52</v>
      </c>
      <c r="B9" s="5" t="s">
        <v>53</v>
      </c>
      <c r="C9" s="20" t="s">
        <v>506</v>
      </c>
      <c r="D9" s="5" t="s">
        <v>30</v>
      </c>
      <c r="E9" s="7" t="str">
        <f>VLOOKUP(A9,Hoja2!A:C,2,FALSE)</f>
        <v>16/07/2025</v>
      </c>
      <c r="F9" s="35">
        <f>VLOOKUP(A9,Hoja2!A:C,3,FALSE)</f>
        <v>45945</v>
      </c>
      <c r="G9" s="5" t="s">
        <v>54</v>
      </c>
      <c r="H9" s="5" t="s">
        <v>55</v>
      </c>
      <c r="I9" s="4" t="s">
        <v>56</v>
      </c>
      <c r="J9" s="5">
        <v>475</v>
      </c>
      <c r="K9" s="4" t="s">
        <v>56</v>
      </c>
      <c r="L9" s="5">
        <v>477</v>
      </c>
      <c r="M9" s="4" t="s">
        <v>56</v>
      </c>
      <c r="N9" s="4">
        <v>479</v>
      </c>
      <c r="O9" s="6" t="s">
        <v>19</v>
      </c>
      <c r="P9" s="7" t="s">
        <v>19</v>
      </c>
      <c r="Q9" s="5" t="s">
        <v>54</v>
      </c>
      <c r="R9" s="5">
        <v>482</v>
      </c>
      <c r="S9" s="4">
        <v>483</v>
      </c>
      <c r="T9" s="29" t="s">
        <v>57</v>
      </c>
    </row>
    <row r="10" spans="1:20">
      <c r="A10" s="3" t="s">
        <v>58</v>
      </c>
      <c r="B10" s="3" t="s">
        <v>59</v>
      </c>
      <c r="C10" s="14" t="s">
        <v>505</v>
      </c>
      <c r="D10" s="5" t="s">
        <v>60</v>
      </c>
      <c r="E10" s="7" t="str">
        <f>VLOOKUP(A10,Hoja2!A:C,2,FALSE)</f>
        <v>23/04/2025</v>
      </c>
      <c r="F10" s="35"/>
      <c r="G10" s="3" t="s">
        <v>61</v>
      </c>
      <c r="H10" s="20">
        <v>412</v>
      </c>
      <c r="I10" s="3" t="s">
        <v>61</v>
      </c>
      <c r="J10" s="3" t="s">
        <v>62</v>
      </c>
      <c r="K10" s="3">
        <v>9</v>
      </c>
      <c r="L10" s="3">
        <v>52</v>
      </c>
      <c r="M10" s="3" t="s">
        <v>61</v>
      </c>
      <c r="N10" s="3" t="s">
        <v>61</v>
      </c>
      <c r="O10" s="6" t="s">
        <v>32</v>
      </c>
      <c r="P10" s="6" t="s">
        <v>513</v>
      </c>
      <c r="Q10" s="4" t="s">
        <v>61</v>
      </c>
      <c r="R10" s="3">
        <v>176</v>
      </c>
      <c r="S10" s="4">
        <v>402</v>
      </c>
      <c r="T10" s="29" t="s">
        <v>61</v>
      </c>
    </row>
    <row r="11" spans="1:20">
      <c r="A11" s="3" t="s">
        <v>63</v>
      </c>
      <c r="B11" s="3" t="s">
        <v>64</v>
      </c>
      <c r="C11" s="7" t="s">
        <v>506</v>
      </c>
      <c r="D11" s="28" t="s">
        <v>17</v>
      </c>
      <c r="E11" s="7" t="str">
        <f>VLOOKUP(A11,Hoja2!A:C,2,FALSE)</f>
        <v>20/05/2024</v>
      </c>
      <c r="F11" s="35">
        <f>VLOOKUP(A11,Hoja2!A:C,3,FALSE)</f>
        <v>45945</v>
      </c>
      <c r="G11" s="3" t="s">
        <v>65</v>
      </c>
      <c r="H11" s="20">
        <v>413</v>
      </c>
      <c r="I11" s="3" t="s">
        <v>66</v>
      </c>
      <c r="J11" s="3" t="s">
        <v>67</v>
      </c>
      <c r="K11" s="4" t="s">
        <v>65</v>
      </c>
      <c r="L11" s="4" t="s">
        <v>68</v>
      </c>
      <c r="M11" s="4" t="s">
        <v>69</v>
      </c>
      <c r="N11" s="4" t="s">
        <v>69</v>
      </c>
      <c r="O11" s="6" t="s">
        <v>19</v>
      </c>
      <c r="P11" s="7" t="s">
        <v>19</v>
      </c>
      <c r="Q11" s="4" t="s">
        <v>69</v>
      </c>
      <c r="R11" s="3" t="s">
        <v>70</v>
      </c>
      <c r="S11" s="4">
        <v>403</v>
      </c>
      <c r="T11" s="29" t="s">
        <v>65</v>
      </c>
    </row>
    <row r="12" spans="1:20">
      <c r="A12" s="3" t="s">
        <v>71</v>
      </c>
      <c r="B12" s="3" t="s">
        <v>72</v>
      </c>
      <c r="C12" s="7" t="s">
        <v>506</v>
      </c>
      <c r="D12" s="5" t="s">
        <v>17</v>
      </c>
      <c r="E12" s="7" t="str">
        <f>VLOOKUP(A12,Hoja2!A:C,2,FALSE)</f>
        <v>15/01/2024</v>
      </c>
      <c r="F12" s="35"/>
      <c r="G12" s="3" t="s">
        <v>73</v>
      </c>
      <c r="H12" s="20">
        <v>414</v>
      </c>
      <c r="I12" s="3" t="s">
        <v>73</v>
      </c>
      <c r="J12" s="3" t="s">
        <v>74</v>
      </c>
      <c r="K12" s="4" t="s">
        <v>75</v>
      </c>
      <c r="L12" s="4" t="s">
        <v>76</v>
      </c>
      <c r="M12" s="4" t="s">
        <v>77</v>
      </c>
      <c r="N12" s="4" t="s">
        <v>77</v>
      </c>
      <c r="O12" s="6" t="s">
        <v>32</v>
      </c>
      <c r="P12" s="6" t="s">
        <v>513</v>
      </c>
      <c r="Q12" s="4" t="s">
        <v>77</v>
      </c>
      <c r="R12" s="3">
        <v>177</v>
      </c>
      <c r="S12" s="4">
        <v>404</v>
      </c>
      <c r="T12" s="30" t="s">
        <v>77</v>
      </c>
    </row>
    <row r="13" spans="1:20">
      <c r="A13" s="6" t="s">
        <v>78</v>
      </c>
      <c r="B13" s="7" t="s">
        <v>79</v>
      </c>
      <c r="C13" s="7" t="s">
        <v>506</v>
      </c>
      <c r="D13" s="7" t="s">
        <v>80</v>
      </c>
      <c r="E13" s="7" t="str">
        <f>VLOOKUP(A13,Hoja2!A:C,2,FALSE)</f>
        <v>12/04/2023</v>
      </c>
      <c r="F13" s="35"/>
      <c r="G13" s="3" t="s">
        <v>81</v>
      </c>
      <c r="H13" s="20">
        <v>415</v>
      </c>
      <c r="I13" s="3">
        <v>23</v>
      </c>
      <c r="J13" s="3"/>
      <c r="K13" s="4" t="s">
        <v>82</v>
      </c>
      <c r="L13" s="4">
        <v>65</v>
      </c>
      <c r="M13" s="4" t="s">
        <v>82</v>
      </c>
      <c r="N13" s="4" t="s">
        <v>82</v>
      </c>
      <c r="O13" s="6" t="s">
        <v>32</v>
      </c>
      <c r="P13" s="6" t="s">
        <v>513</v>
      </c>
      <c r="Q13" s="4" t="s">
        <v>82</v>
      </c>
      <c r="R13" s="3">
        <v>195</v>
      </c>
      <c r="S13" s="4" t="s">
        <v>83</v>
      </c>
      <c r="T13" s="29" t="s">
        <v>82</v>
      </c>
    </row>
    <row r="14" spans="1:20">
      <c r="A14" s="7" t="s">
        <v>84</v>
      </c>
      <c r="B14" s="7" t="s">
        <v>85</v>
      </c>
      <c r="C14" s="8" t="s">
        <v>187</v>
      </c>
      <c r="D14" s="7" t="s">
        <v>86</v>
      </c>
      <c r="E14" s="7" t="str">
        <f>VLOOKUP(A14,Hoja2!A:C,2,FALSE)</f>
        <v>26/06/2023</v>
      </c>
      <c r="F14" s="35"/>
      <c r="G14" s="3" t="s">
        <v>87</v>
      </c>
      <c r="H14" s="19" t="s">
        <v>88</v>
      </c>
      <c r="I14" s="3">
        <v>227</v>
      </c>
      <c r="J14" s="3"/>
      <c r="K14" s="3">
        <v>236</v>
      </c>
      <c r="L14" s="3">
        <v>245</v>
      </c>
      <c r="M14" s="4">
        <v>254</v>
      </c>
      <c r="N14" s="4">
        <v>263</v>
      </c>
      <c r="O14" s="6" t="s">
        <v>32</v>
      </c>
      <c r="P14" s="6" t="s">
        <v>514</v>
      </c>
      <c r="Q14" s="3">
        <v>281</v>
      </c>
      <c r="R14" s="3" t="s">
        <v>88</v>
      </c>
      <c r="S14" s="4">
        <v>406</v>
      </c>
      <c r="T14" s="3">
        <v>508</v>
      </c>
    </row>
    <row r="15" spans="1:20">
      <c r="A15" s="7" t="s">
        <v>89</v>
      </c>
      <c r="B15" s="7" t="s">
        <v>90</v>
      </c>
      <c r="C15" s="7" t="s">
        <v>91</v>
      </c>
      <c r="D15" s="7" t="s">
        <v>91</v>
      </c>
      <c r="E15" s="7" t="str">
        <f>VLOOKUP(A15,Hoja2!A:C,2,FALSE)</f>
        <v>23/12/2021</v>
      </c>
      <c r="F15" s="35"/>
      <c r="G15" s="3" t="s">
        <v>92</v>
      </c>
      <c r="H15" s="19" t="s">
        <v>93</v>
      </c>
      <c r="I15" s="3">
        <v>228</v>
      </c>
      <c r="J15" s="3"/>
      <c r="K15" s="3">
        <v>237</v>
      </c>
      <c r="L15" s="3">
        <v>246</v>
      </c>
      <c r="M15" s="4">
        <v>255</v>
      </c>
      <c r="N15" s="4">
        <v>264</v>
      </c>
      <c r="O15" s="6" t="s">
        <v>32</v>
      </c>
      <c r="P15" s="6" t="s">
        <v>513</v>
      </c>
      <c r="Q15" s="3">
        <v>282</v>
      </c>
      <c r="R15" s="3" t="s">
        <v>93</v>
      </c>
      <c r="S15" s="4">
        <v>345</v>
      </c>
      <c r="T15" s="3">
        <v>509</v>
      </c>
    </row>
    <row r="16" spans="1:20">
      <c r="A16" s="3" t="s">
        <v>94</v>
      </c>
      <c r="B16" s="7" t="s">
        <v>95</v>
      </c>
      <c r="C16" s="20" t="s">
        <v>506</v>
      </c>
      <c r="D16" s="7" t="s">
        <v>30</v>
      </c>
      <c r="E16" s="7" t="str">
        <f>VLOOKUP(A16,Hoja2!A:C,2,FALSE)</f>
        <v>11/12/2023</v>
      </c>
      <c r="F16" s="35">
        <f>VLOOKUP(A16,Hoja2!A:C,3,FALSE)</f>
        <v>45888</v>
      </c>
      <c r="G16" s="3" t="s">
        <v>96</v>
      </c>
      <c r="H16" s="19" t="s">
        <v>97</v>
      </c>
      <c r="I16" s="4" t="s">
        <v>98</v>
      </c>
      <c r="J16" s="3"/>
      <c r="K16" s="3">
        <v>45</v>
      </c>
      <c r="L16" s="4" t="s">
        <v>99</v>
      </c>
      <c r="M16" s="4" t="s">
        <v>98</v>
      </c>
      <c r="N16" s="4">
        <v>87</v>
      </c>
      <c r="O16" s="6" t="s">
        <v>19</v>
      </c>
      <c r="P16" s="7" t="s">
        <v>19</v>
      </c>
      <c r="Q16" s="4" t="s">
        <v>96</v>
      </c>
      <c r="R16" s="3" t="s">
        <v>97</v>
      </c>
      <c r="S16" s="4">
        <v>346</v>
      </c>
      <c r="T16" s="3">
        <v>510</v>
      </c>
    </row>
    <row r="17" spans="1:20">
      <c r="A17" s="3" t="s">
        <v>100</v>
      </c>
      <c r="B17" s="7" t="s">
        <v>101</v>
      </c>
      <c r="C17" s="7" t="s">
        <v>506</v>
      </c>
      <c r="D17" s="7" t="s">
        <v>17</v>
      </c>
      <c r="E17" s="7" t="str">
        <f>VLOOKUP(A17,Hoja2!A:C,2,FALSE)</f>
        <v>11/12/2023</v>
      </c>
      <c r="F17" s="35">
        <f>VLOOKUP(A17,Hoja2!A:C,3,FALSE)</f>
        <v>45708</v>
      </c>
      <c r="G17" s="3" t="s">
        <v>102</v>
      </c>
      <c r="H17" s="3">
        <v>416</v>
      </c>
      <c r="I17" s="4" t="s">
        <v>103</v>
      </c>
      <c r="J17" s="3"/>
      <c r="K17" s="3">
        <v>46</v>
      </c>
      <c r="L17" s="4" t="s">
        <v>103</v>
      </c>
      <c r="M17" s="4" t="s">
        <v>103</v>
      </c>
      <c r="N17" s="4">
        <v>88</v>
      </c>
      <c r="O17" s="6" t="s">
        <v>19</v>
      </c>
      <c r="P17" s="7" t="s">
        <v>19</v>
      </c>
      <c r="Q17" s="4" t="s">
        <v>104</v>
      </c>
      <c r="R17" s="4">
        <v>205</v>
      </c>
      <c r="S17" s="4">
        <v>347</v>
      </c>
      <c r="T17" s="3">
        <v>511</v>
      </c>
    </row>
    <row r="18" spans="1:20">
      <c r="A18" s="3" t="s">
        <v>105</v>
      </c>
      <c r="B18" s="8" t="s">
        <v>106</v>
      </c>
      <c r="C18" s="8" t="s">
        <v>187</v>
      </c>
      <c r="D18" s="7" t="s">
        <v>23</v>
      </c>
      <c r="E18" s="7" t="str">
        <f>VLOOKUP(A18,Hoja2!A:C,2,FALSE)</f>
        <v>04/05/2023</v>
      </c>
      <c r="F18" s="35"/>
      <c r="G18" s="3" t="s">
        <v>107</v>
      </c>
      <c r="H18" s="19" t="s">
        <v>108</v>
      </c>
      <c r="I18" s="3" t="s">
        <v>109</v>
      </c>
      <c r="J18" s="3" t="s">
        <v>110</v>
      </c>
      <c r="K18" s="3">
        <v>10</v>
      </c>
      <c r="L18" s="3">
        <v>53</v>
      </c>
      <c r="M18" s="3">
        <v>71</v>
      </c>
      <c r="N18" s="3">
        <v>71</v>
      </c>
      <c r="O18" s="6" t="s">
        <v>32</v>
      </c>
      <c r="P18" s="6" t="s">
        <v>513</v>
      </c>
      <c r="Q18" s="4">
        <v>156</v>
      </c>
      <c r="R18" s="3" t="s">
        <v>111</v>
      </c>
      <c r="S18" s="4">
        <v>348</v>
      </c>
      <c r="T18" s="29" t="s">
        <v>112</v>
      </c>
    </row>
    <row r="19" spans="1:20">
      <c r="A19" s="3" t="s">
        <v>113</v>
      </c>
      <c r="B19" s="14" t="s">
        <v>114</v>
      </c>
      <c r="C19" s="14" t="s">
        <v>505</v>
      </c>
      <c r="D19" s="14" t="s">
        <v>115</v>
      </c>
      <c r="E19" s="7" t="str">
        <f>VLOOKUP(A19,Hoja2!A:C,2,FALSE)</f>
        <v>08/05/2023</v>
      </c>
      <c r="F19" s="35"/>
      <c r="G19" s="14" t="s">
        <v>114</v>
      </c>
      <c r="H19" s="14">
        <v>417</v>
      </c>
      <c r="I19" s="3">
        <v>308</v>
      </c>
      <c r="J19" s="3"/>
      <c r="K19" s="3">
        <v>313</v>
      </c>
      <c r="L19" s="3">
        <v>318</v>
      </c>
      <c r="M19" s="4">
        <v>323</v>
      </c>
      <c r="N19" s="4">
        <v>328</v>
      </c>
      <c r="O19" s="6" t="s">
        <v>32</v>
      </c>
      <c r="P19" s="6" t="s">
        <v>513</v>
      </c>
      <c r="Q19" s="3" t="s">
        <v>114</v>
      </c>
      <c r="R19" s="3">
        <v>343</v>
      </c>
      <c r="S19" s="4">
        <v>349</v>
      </c>
      <c r="T19" s="30" t="s">
        <v>116</v>
      </c>
    </row>
    <row r="20" spans="1:20">
      <c r="A20" s="3" t="s">
        <v>117</v>
      </c>
      <c r="B20" s="8" t="s">
        <v>118</v>
      </c>
      <c r="C20" s="8" t="s">
        <v>187</v>
      </c>
      <c r="D20" s="7" t="s">
        <v>23</v>
      </c>
      <c r="E20" s="7" t="str">
        <f>VLOOKUP(A20,Hoja2!A:C,2,FALSE)</f>
        <v>01/08/2023</v>
      </c>
      <c r="F20" s="35">
        <f>VLOOKUP(A20,Hoja2!A:C,3,FALSE)</f>
        <v>45719</v>
      </c>
      <c r="G20" s="3" t="s">
        <v>119</v>
      </c>
      <c r="H20" s="3">
        <v>418</v>
      </c>
      <c r="I20" s="4" t="s">
        <v>119</v>
      </c>
      <c r="J20" s="3" t="s">
        <v>120</v>
      </c>
      <c r="K20" s="3">
        <v>11</v>
      </c>
      <c r="L20" s="3">
        <v>54</v>
      </c>
      <c r="M20" s="3">
        <v>72</v>
      </c>
      <c r="N20" s="3">
        <v>72</v>
      </c>
      <c r="O20" s="6" t="s">
        <v>19</v>
      </c>
      <c r="P20" s="7" t="s">
        <v>19</v>
      </c>
      <c r="Q20" s="4">
        <v>157</v>
      </c>
      <c r="R20" s="3">
        <v>179</v>
      </c>
      <c r="S20" s="4">
        <v>350</v>
      </c>
      <c r="T20" s="3">
        <v>512</v>
      </c>
    </row>
    <row r="21" spans="1:20">
      <c r="A21" s="5" t="s">
        <v>121</v>
      </c>
      <c r="B21" s="5" t="s">
        <v>122</v>
      </c>
      <c r="C21" s="20" t="s">
        <v>506</v>
      </c>
      <c r="D21" s="7" t="s">
        <v>30</v>
      </c>
      <c r="E21" s="7" t="str">
        <f>VLOOKUP(A21,Hoja2!A:C,2,FALSE)</f>
        <v>20/10/2025</v>
      </c>
      <c r="F21" s="35"/>
      <c r="G21" s="3" t="s">
        <v>123</v>
      </c>
      <c r="H21" s="3" t="s">
        <v>124</v>
      </c>
      <c r="I21" s="4">
        <v>555</v>
      </c>
      <c r="J21" s="3">
        <v>556</v>
      </c>
      <c r="K21" s="3" t="s">
        <v>503</v>
      </c>
      <c r="L21" s="3">
        <v>558</v>
      </c>
      <c r="M21" s="4">
        <v>559</v>
      </c>
      <c r="N21" s="4">
        <v>560</v>
      </c>
      <c r="O21" s="6" t="s">
        <v>32</v>
      </c>
      <c r="P21" s="6" t="s">
        <v>513</v>
      </c>
      <c r="Q21" s="4">
        <v>562</v>
      </c>
      <c r="R21" s="4">
        <v>563</v>
      </c>
      <c r="S21" s="4">
        <v>564</v>
      </c>
      <c r="T21" s="4">
        <v>566</v>
      </c>
    </row>
    <row r="22" spans="1:20">
      <c r="A22" s="3" t="s">
        <v>125</v>
      </c>
      <c r="B22" s="8" t="s">
        <v>126</v>
      </c>
      <c r="C22" s="8" t="s">
        <v>505</v>
      </c>
      <c r="D22" s="7" t="s">
        <v>17</v>
      </c>
      <c r="E22" s="7" t="str">
        <f>VLOOKUP(A22,Hoja2!A:C,2,FALSE)</f>
        <v>01/05/2023</v>
      </c>
      <c r="F22" s="35"/>
      <c r="G22" s="3" t="s">
        <v>127</v>
      </c>
      <c r="H22" s="19" t="s">
        <v>128</v>
      </c>
      <c r="I22" s="3" t="s">
        <v>129</v>
      </c>
      <c r="J22" s="3" t="s">
        <v>130</v>
      </c>
      <c r="K22" s="3" t="s">
        <v>127</v>
      </c>
      <c r="L22" s="3">
        <v>55</v>
      </c>
      <c r="M22" s="3">
        <v>73</v>
      </c>
      <c r="N22" s="3">
        <v>73</v>
      </c>
      <c r="O22" s="6" t="s">
        <v>32</v>
      </c>
      <c r="P22" s="6" t="s">
        <v>512</v>
      </c>
      <c r="Q22" s="4" t="s">
        <v>127</v>
      </c>
      <c r="R22" s="3">
        <v>180</v>
      </c>
      <c r="S22" s="4">
        <v>351</v>
      </c>
      <c r="T22" s="29" t="s">
        <v>127</v>
      </c>
    </row>
    <row r="23" spans="1:20">
      <c r="A23" s="3" t="s">
        <v>131</v>
      </c>
      <c r="B23" s="7" t="s">
        <v>132</v>
      </c>
      <c r="C23" s="20" t="s">
        <v>506</v>
      </c>
      <c r="D23" s="7" t="s">
        <v>30</v>
      </c>
      <c r="E23" s="7" t="str">
        <f>VLOOKUP(A23,Hoja2!A:C,2,FALSE)</f>
        <v>11/12/2023</v>
      </c>
      <c r="F23" s="35"/>
      <c r="G23" s="3" t="s">
        <v>133</v>
      </c>
      <c r="H23" s="19" t="s">
        <v>134</v>
      </c>
      <c r="I23" s="4" t="s">
        <v>135</v>
      </c>
      <c r="J23" s="3"/>
      <c r="K23" s="4" t="s">
        <v>135</v>
      </c>
      <c r="L23" s="4" t="s">
        <v>135</v>
      </c>
      <c r="M23" s="4" t="s">
        <v>135</v>
      </c>
      <c r="N23" s="4">
        <v>90</v>
      </c>
      <c r="O23" s="6" t="s">
        <v>32</v>
      </c>
      <c r="P23" s="6" t="s">
        <v>513</v>
      </c>
      <c r="Q23" s="3" t="s">
        <v>136</v>
      </c>
      <c r="R23" s="3" t="s">
        <v>134</v>
      </c>
      <c r="S23" s="4">
        <v>352</v>
      </c>
      <c r="T23" s="29" t="s">
        <v>136</v>
      </c>
    </row>
    <row r="24" spans="1:20">
      <c r="A24" s="5" t="s">
        <v>137</v>
      </c>
      <c r="B24" s="5" t="s">
        <v>138</v>
      </c>
      <c r="C24" s="20" t="s">
        <v>506</v>
      </c>
      <c r="D24" s="23" t="s">
        <v>30</v>
      </c>
      <c r="E24" s="7" t="str">
        <f>VLOOKUP(A24,Hoja2!A:C,2,FALSE)</f>
        <v>16/07/2025</v>
      </c>
      <c r="F24" s="35"/>
      <c r="G24" s="5" t="s">
        <v>139</v>
      </c>
      <c r="H24" s="5" t="s">
        <v>140</v>
      </c>
      <c r="I24" s="4" t="s">
        <v>141</v>
      </c>
      <c r="J24" s="5">
        <v>485</v>
      </c>
      <c r="K24" s="4" t="s">
        <v>141</v>
      </c>
      <c r="L24" s="5">
        <v>487</v>
      </c>
      <c r="M24" s="4" t="s">
        <v>141</v>
      </c>
      <c r="N24" s="5">
        <v>489</v>
      </c>
      <c r="O24" s="6" t="s">
        <v>32</v>
      </c>
      <c r="P24" s="6" t="s">
        <v>513</v>
      </c>
      <c r="Q24" s="4" t="s">
        <v>139</v>
      </c>
      <c r="R24" s="5">
        <v>492</v>
      </c>
      <c r="S24" s="4">
        <v>493</v>
      </c>
      <c r="T24" s="30" t="s">
        <v>141</v>
      </c>
    </row>
    <row r="25" spans="1:20">
      <c r="A25" s="3" t="s">
        <v>142</v>
      </c>
      <c r="B25" s="8" t="s">
        <v>143</v>
      </c>
      <c r="C25" s="7" t="s">
        <v>506</v>
      </c>
      <c r="D25" s="23" t="s">
        <v>80</v>
      </c>
      <c r="E25" s="7" t="str">
        <f>VLOOKUP(A25,Hoja2!A:C,2,FALSE)</f>
        <v>01/09/2023</v>
      </c>
      <c r="F25" s="35"/>
      <c r="G25" s="3" t="s">
        <v>144</v>
      </c>
      <c r="H25" s="3">
        <v>419</v>
      </c>
      <c r="I25" s="3" t="s">
        <v>144</v>
      </c>
      <c r="J25" s="3" t="s">
        <v>145</v>
      </c>
      <c r="K25" s="4" t="s">
        <v>144</v>
      </c>
      <c r="L25" s="4" t="s">
        <v>146</v>
      </c>
      <c r="M25" s="4" t="s">
        <v>147</v>
      </c>
      <c r="N25" s="4" t="s">
        <v>147</v>
      </c>
      <c r="O25" s="6" t="s">
        <v>32</v>
      </c>
      <c r="P25" s="6" t="s">
        <v>513</v>
      </c>
      <c r="Q25" s="4" t="s">
        <v>147</v>
      </c>
      <c r="R25" s="3">
        <v>181</v>
      </c>
      <c r="S25" s="4" t="s">
        <v>148</v>
      </c>
      <c r="T25" s="30" t="s">
        <v>144</v>
      </c>
    </row>
    <row r="26" spans="1:20">
      <c r="A26" s="6" t="s">
        <v>149</v>
      </c>
      <c r="B26" s="7" t="s">
        <v>150</v>
      </c>
      <c r="C26" s="8" t="s">
        <v>187</v>
      </c>
      <c r="D26" s="7" t="s">
        <v>23</v>
      </c>
      <c r="E26" s="7" t="str">
        <f>VLOOKUP(A26,Hoja2!A:C,2,FALSE)</f>
        <v>11/12/2023</v>
      </c>
      <c r="F26" s="35"/>
      <c r="G26" s="3" t="s">
        <v>151</v>
      </c>
      <c r="H26" s="3">
        <v>420</v>
      </c>
      <c r="I26" s="4" t="s">
        <v>152</v>
      </c>
      <c r="J26" s="3"/>
      <c r="K26" s="3">
        <v>44</v>
      </c>
      <c r="L26" s="4" t="s">
        <v>152</v>
      </c>
      <c r="M26" s="4" t="s">
        <v>152</v>
      </c>
      <c r="N26" s="4">
        <v>86</v>
      </c>
      <c r="O26" s="6" t="s">
        <v>32</v>
      </c>
      <c r="P26" s="6" t="s">
        <v>513</v>
      </c>
      <c r="Q26" s="4" t="s">
        <v>153</v>
      </c>
      <c r="R26" s="4">
        <v>203</v>
      </c>
      <c r="S26" s="4">
        <v>353</v>
      </c>
      <c r="T26" s="29" t="s">
        <v>154</v>
      </c>
    </row>
    <row r="27" spans="1:20">
      <c r="A27" s="3" t="s">
        <v>155</v>
      </c>
      <c r="B27" s="8" t="s">
        <v>156</v>
      </c>
      <c r="C27" s="7" t="s">
        <v>506</v>
      </c>
      <c r="D27" s="7" t="s">
        <v>80</v>
      </c>
      <c r="E27" s="7" t="str">
        <f>VLOOKUP(A27,Hoja2!A:C,2,FALSE)</f>
        <v>06/07/2023</v>
      </c>
      <c r="F27" s="35"/>
      <c r="G27" s="3" t="s">
        <v>154</v>
      </c>
      <c r="H27" s="3">
        <v>421</v>
      </c>
      <c r="I27" s="3" t="s">
        <v>157</v>
      </c>
      <c r="J27" s="3" t="s">
        <v>158</v>
      </c>
      <c r="K27" s="4" t="s">
        <v>159</v>
      </c>
      <c r="L27" s="3">
        <v>56</v>
      </c>
      <c r="M27" s="4" t="s">
        <v>154</v>
      </c>
      <c r="N27" s="4" t="s">
        <v>154</v>
      </c>
      <c r="O27" s="6" t="s">
        <v>32</v>
      </c>
      <c r="P27" s="6" t="s">
        <v>513</v>
      </c>
      <c r="Q27" s="4" t="s">
        <v>154</v>
      </c>
      <c r="R27" s="3">
        <v>182</v>
      </c>
      <c r="S27" s="4" t="s">
        <v>160</v>
      </c>
      <c r="T27" s="29" t="s">
        <v>161</v>
      </c>
    </row>
    <row r="28" spans="1:20">
      <c r="A28" s="3" t="s">
        <v>162</v>
      </c>
      <c r="B28" s="7" t="s">
        <v>163</v>
      </c>
      <c r="C28" s="20" t="s">
        <v>506</v>
      </c>
      <c r="D28" s="7" t="s">
        <v>30</v>
      </c>
      <c r="E28" s="7" t="str">
        <f>VLOOKUP(A28,Hoja2!A:C,2,FALSE)</f>
        <v>12/12/2023</v>
      </c>
      <c r="F28" s="35"/>
      <c r="G28" s="3" t="s">
        <v>164</v>
      </c>
      <c r="H28" s="19" t="s">
        <v>165</v>
      </c>
      <c r="I28" s="4" t="s">
        <v>166</v>
      </c>
      <c r="J28" s="3"/>
      <c r="K28" s="4" t="s">
        <v>166</v>
      </c>
      <c r="L28" s="4" t="s">
        <v>166</v>
      </c>
      <c r="M28" s="4" t="s">
        <v>166</v>
      </c>
      <c r="N28" s="4">
        <v>89</v>
      </c>
      <c r="O28" s="6" t="s">
        <v>32</v>
      </c>
      <c r="P28" s="6" t="s">
        <v>513</v>
      </c>
      <c r="Q28" s="4" t="s">
        <v>161</v>
      </c>
      <c r="R28" s="3" t="s">
        <v>165</v>
      </c>
      <c r="S28" s="4">
        <v>354</v>
      </c>
      <c r="T28" s="3">
        <v>513</v>
      </c>
    </row>
    <row r="29" spans="1:20">
      <c r="A29" s="3" t="s">
        <v>167</v>
      </c>
      <c r="B29" s="8" t="s">
        <v>168</v>
      </c>
      <c r="C29" s="7" t="s">
        <v>506</v>
      </c>
      <c r="D29" s="7" t="s">
        <v>17</v>
      </c>
      <c r="E29" s="7" t="str">
        <f>VLOOKUP(A29,Hoja2!A:C,2,FALSE)</f>
        <v>05/02/2025</v>
      </c>
      <c r="F29" s="35"/>
      <c r="G29" s="3" t="s">
        <v>168</v>
      </c>
      <c r="H29" s="20">
        <v>422</v>
      </c>
      <c r="I29" s="3" t="s">
        <v>168</v>
      </c>
      <c r="J29" s="3"/>
      <c r="K29" s="4" t="s">
        <v>169</v>
      </c>
      <c r="L29" s="4" t="s">
        <v>170</v>
      </c>
      <c r="M29" s="4" t="s">
        <v>168</v>
      </c>
      <c r="N29" s="4" t="s">
        <v>168</v>
      </c>
      <c r="O29" s="6" t="s">
        <v>32</v>
      </c>
      <c r="P29" s="6" t="s">
        <v>513</v>
      </c>
      <c r="Q29" s="4" t="s">
        <v>168</v>
      </c>
      <c r="R29" s="3" t="s">
        <v>171</v>
      </c>
      <c r="S29" s="4">
        <v>355</v>
      </c>
      <c r="T29" s="30" t="s">
        <v>172</v>
      </c>
    </row>
    <row r="30" spans="1:20">
      <c r="A30" s="4" t="s">
        <v>173</v>
      </c>
      <c r="B30" s="9" t="s">
        <v>174</v>
      </c>
      <c r="C30" s="8" t="s">
        <v>506</v>
      </c>
      <c r="D30" s="7" t="s">
        <v>30</v>
      </c>
      <c r="E30" s="7" t="str">
        <f>VLOOKUP(A30,Hoja2!A:C,2,FALSE)</f>
        <v>04/03/2024</v>
      </c>
      <c r="F30" s="35"/>
      <c r="G30" s="3" t="s">
        <v>175</v>
      </c>
      <c r="H30" s="19" t="s">
        <v>176</v>
      </c>
      <c r="I30" s="4" t="s">
        <v>177</v>
      </c>
      <c r="J30" s="3"/>
      <c r="K30" s="4" t="s">
        <v>177</v>
      </c>
      <c r="L30" s="3">
        <v>112</v>
      </c>
      <c r="M30" s="4" t="s">
        <v>177</v>
      </c>
      <c r="N30" s="4">
        <v>106</v>
      </c>
      <c r="O30" s="6" t="s">
        <v>32</v>
      </c>
      <c r="P30" s="6" t="s">
        <v>513</v>
      </c>
      <c r="Q30" s="4" t="s">
        <v>175</v>
      </c>
      <c r="R30" s="3" t="s">
        <v>176</v>
      </c>
      <c r="S30" s="4">
        <v>356</v>
      </c>
      <c r="T30" s="30" t="s">
        <v>175</v>
      </c>
    </row>
    <row r="31" spans="1:20">
      <c r="A31" s="3" t="s">
        <v>178</v>
      </c>
      <c r="B31" s="11" t="s">
        <v>179</v>
      </c>
      <c r="C31" s="20" t="s">
        <v>506</v>
      </c>
      <c r="D31" s="7" t="s">
        <v>30</v>
      </c>
      <c r="E31" s="7" t="str">
        <f>VLOOKUP(A31,Hoja2!A:C,2,FALSE)</f>
        <v>02/10/2024</v>
      </c>
      <c r="F31" s="35"/>
      <c r="G31" s="3" t="s">
        <v>180</v>
      </c>
      <c r="H31" s="19" t="s">
        <v>181</v>
      </c>
      <c r="I31" s="4" t="s">
        <v>182</v>
      </c>
      <c r="J31" s="3"/>
      <c r="K31" s="4" t="s">
        <v>182</v>
      </c>
      <c r="L31" s="4" t="s">
        <v>183</v>
      </c>
      <c r="M31" s="4" t="s">
        <v>184</v>
      </c>
      <c r="N31" s="4">
        <v>91</v>
      </c>
      <c r="O31" s="6" t="s">
        <v>32</v>
      </c>
      <c r="P31" s="6" t="s">
        <v>513</v>
      </c>
      <c r="Q31" s="4" t="s">
        <v>185</v>
      </c>
      <c r="R31" s="3" t="s">
        <v>181</v>
      </c>
      <c r="S31" s="4">
        <v>357</v>
      </c>
      <c r="T31" s="29" t="s">
        <v>182</v>
      </c>
    </row>
    <row r="32" spans="1:20">
      <c r="A32" s="3">
        <v>1</v>
      </c>
      <c r="B32" s="9" t="s">
        <v>186</v>
      </c>
      <c r="C32" s="8" t="s">
        <v>187</v>
      </c>
      <c r="D32" s="7" t="s">
        <v>187</v>
      </c>
      <c r="E32" s="35">
        <v>36892</v>
      </c>
      <c r="F32" s="35">
        <v>36893</v>
      </c>
      <c r="G32" s="3" t="s">
        <v>186</v>
      </c>
      <c r="H32" s="3">
        <v>423</v>
      </c>
      <c r="I32" s="3" t="s">
        <v>186</v>
      </c>
      <c r="J32" s="3"/>
      <c r="K32" s="3">
        <v>13</v>
      </c>
      <c r="L32" s="3">
        <v>57</v>
      </c>
      <c r="M32" s="3">
        <v>74</v>
      </c>
      <c r="N32" s="3">
        <v>74</v>
      </c>
      <c r="O32" s="6" t="s">
        <v>19</v>
      </c>
      <c r="P32" s="7" t="s">
        <v>19</v>
      </c>
      <c r="Q32" s="4">
        <v>158</v>
      </c>
      <c r="R32" s="3">
        <v>183</v>
      </c>
      <c r="S32" s="4">
        <v>358</v>
      </c>
      <c r="T32" s="3">
        <v>514</v>
      </c>
    </row>
    <row r="33" spans="1:20">
      <c r="A33" s="3" t="s">
        <v>188</v>
      </c>
      <c r="B33" s="11" t="s">
        <v>189</v>
      </c>
      <c r="C33" s="7" t="s">
        <v>506</v>
      </c>
      <c r="D33" s="7" t="s">
        <v>17</v>
      </c>
      <c r="E33" s="7" t="str">
        <f>VLOOKUP(A33,Hoja2!A:C,2,FALSE)</f>
        <v>03/10/2023</v>
      </c>
      <c r="F33" s="35">
        <f>VLOOKUP(A33,Hoja2!A:C,3,FALSE)</f>
        <v>45844</v>
      </c>
      <c r="G33" s="3" t="s">
        <v>190</v>
      </c>
      <c r="H33" s="3">
        <v>424</v>
      </c>
      <c r="I33" s="4" t="s">
        <v>191</v>
      </c>
      <c r="J33" s="3"/>
      <c r="K33" s="3">
        <v>42</v>
      </c>
      <c r="L33" s="4" t="s">
        <v>192</v>
      </c>
      <c r="M33" s="4" t="s">
        <v>191</v>
      </c>
      <c r="N33" s="4">
        <v>84</v>
      </c>
      <c r="O33" s="6" t="s">
        <v>19</v>
      </c>
      <c r="P33" s="7" t="s">
        <v>19</v>
      </c>
      <c r="Q33" s="3">
        <v>167</v>
      </c>
      <c r="R33" s="4">
        <v>201</v>
      </c>
      <c r="S33" s="4">
        <v>359</v>
      </c>
      <c r="T33" s="3">
        <v>515</v>
      </c>
    </row>
    <row r="34" spans="1:20">
      <c r="A34" s="3" t="s">
        <v>193</v>
      </c>
      <c r="B34" s="11" t="s">
        <v>194</v>
      </c>
      <c r="C34" s="7" t="s">
        <v>506</v>
      </c>
      <c r="D34" s="7" t="s">
        <v>17</v>
      </c>
      <c r="E34" s="7" t="str">
        <f>VLOOKUP(A34,Hoja2!A:C,2,FALSE)</f>
        <v>19/05/2025</v>
      </c>
      <c r="F34" s="35"/>
      <c r="G34" s="3" t="s">
        <v>195</v>
      </c>
      <c r="H34" s="3">
        <v>425</v>
      </c>
      <c r="I34" s="3" t="s">
        <v>196</v>
      </c>
      <c r="J34" s="3"/>
      <c r="K34" s="3" t="s">
        <v>196</v>
      </c>
      <c r="L34" s="3">
        <v>217</v>
      </c>
      <c r="M34" s="4" t="s">
        <v>197</v>
      </c>
      <c r="N34" s="4">
        <v>221</v>
      </c>
      <c r="O34" s="6" t="s">
        <v>32</v>
      </c>
      <c r="P34" s="6" t="s">
        <v>513</v>
      </c>
      <c r="Q34" s="3" t="s">
        <v>195</v>
      </c>
      <c r="R34" s="4" t="s">
        <v>198</v>
      </c>
      <c r="S34" s="4">
        <v>360</v>
      </c>
      <c r="T34" s="29" t="s">
        <v>199</v>
      </c>
    </row>
    <row r="35" spans="1:20">
      <c r="A35" s="6" t="s">
        <v>200</v>
      </c>
      <c r="B35" s="11" t="s">
        <v>201</v>
      </c>
      <c r="C35" s="7" t="s">
        <v>506</v>
      </c>
      <c r="D35" s="7" t="s">
        <v>80</v>
      </c>
      <c r="E35" s="7" t="str">
        <f>VLOOKUP(A35,Hoja2!A:C,2,FALSE)</f>
        <v>12/04/2023</v>
      </c>
      <c r="F35" s="35"/>
      <c r="G35" s="3" t="s">
        <v>202</v>
      </c>
      <c r="H35" s="3">
        <v>426</v>
      </c>
      <c r="I35" s="3">
        <v>25</v>
      </c>
      <c r="J35" s="3"/>
      <c r="K35" s="4" t="s">
        <v>202</v>
      </c>
      <c r="L35" s="4">
        <v>67</v>
      </c>
      <c r="M35" s="4" t="s">
        <v>202</v>
      </c>
      <c r="N35" s="4" t="s">
        <v>202</v>
      </c>
      <c r="O35" s="6" t="s">
        <v>32</v>
      </c>
      <c r="P35" s="6" t="s">
        <v>513</v>
      </c>
      <c r="Q35" s="4" t="s">
        <v>202</v>
      </c>
      <c r="R35" s="3">
        <v>197</v>
      </c>
      <c r="S35" s="4" t="s">
        <v>203</v>
      </c>
      <c r="T35" s="30" t="s">
        <v>202</v>
      </c>
    </row>
    <row r="36" spans="1:20">
      <c r="A36" s="6" t="s">
        <v>204</v>
      </c>
      <c r="B36" s="11" t="s">
        <v>205</v>
      </c>
      <c r="C36" s="7" t="s">
        <v>506</v>
      </c>
      <c r="D36" s="7" t="s">
        <v>17</v>
      </c>
      <c r="E36" s="7" t="str">
        <f>VLOOKUP(A36,Hoja2!A:C,2,FALSE)</f>
        <v>06/07/2023</v>
      </c>
      <c r="F36" s="35">
        <f>VLOOKUP(A36,Hoja2!A:C,3,FALSE)</f>
        <v>45708</v>
      </c>
      <c r="G36" s="3" t="s">
        <v>206</v>
      </c>
      <c r="H36" s="3">
        <v>427</v>
      </c>
      <c r="I36" s="4" t="s">
        <v>207</v>
      </c>
      <c r="J36" s="3"/>
      <c r="K36" s="3">
        <v>40</v>
      </c>
      <c r="L36" s="4" t="s">
        <v>208</v>
      </c>
      <c r="M36" s="4" t="s">
        <v>207</v>
      </c>
      <c r="N36" s="4">
        <v>82</v>
      </c>
      <c r="O36" s="6" t="s">
        <v>19</v>
      </c>
      <c r="P36" s="7" t="s">
        <v>19</v>
      </c>
      <c r="Q36" s="4" t="s">
        <v>206</v>
      </c>
      <c r="R36" s="4">
        <v>199</v>
      </c>
      <c r="S36" s="4">
        <v>361</v>
      </c>
      <c r="T36" s="3">
        <v>516</v>
      </c>
    </row>
    <row r="37" spans="1:20">
      <c r="A37" s="7" t="s">
        <v>209</v>
      </c>
      <c r="B37" s="11" t="s">
        <v>210</v>
      </c>
      <c r="C37" s="7" t="s">
        <v>91</v>
      </c>
      <c r="D37" s="7" t="s">
        <v>91</v>
      </c>
      <c r="E37" s="7" t="str">
        <f>VLOOKUP(A37,Hoja2!A:C,2,FALSE)</f>
        <v>23/12/2021</v>
      </c>
      <c r="F37" s="35"/>
      <c r="G37" s="3" t="s">
        <v>211</v>
      </c>
      <c r="H37" s="19" t="s">
        <v>212</v>
      </c>
      <c r="I37" s="3">
        <v>229</v>
      </c>
      <c r="J37" s="3"/>
      <c r="K37" s="3">
        <v>238</v>
      </c>
      <c r="L37" s="3">
        <v>247</v>
      </c>
      <c r="M37" s="4">
        <v>256</v>
      </c>
      <c r="N37" s="4">
        <v>265</v>
      </c>
      <c r="O37" s="6" t="s">
        <v>32</v>
      </c>
      <c r="P37" s="6" t="s">
        <v>513</v>
      </c>
      <c r="Q37" s="3">
        <v>283</v>
      </c>
      <c r="R37" s="3" t="s">
        <v>212</v>
      </c>
      <c r="S37" s="4">
        <v>362</v>
      </c>
      <c r="T37" s="3">
        <v>517</v>
      </c>
    </row>
    <row r="38" spans="1:20">
      <c r="A38" s="3">
        <v>2</v>
      </c>
      <c r="B38" s="17" t="s">
        <v>213</v>
      </c>
      <c r="C38" s="8" t="s">
        <v>187</v>
      </c>
      <c r="D38" s="7" t="s">
        <v>187</v>
      </c>
      <c r="E38" s="35">
        <v>36892</v>
      </c>
      <c r="F38" s="35">
        <v>36893</v>
      </c>
      <c r="G38" s="3" t="s">
        <v>213</v>
      </c>
      <c r="H38" s="20">
        <v>428</v>
      </c>
      <c r="I38" s="4" t="s">
        <v>213</v>
      </c>
      <c r="J38" s="3"/>
      <c r="K38" s="3">
        <v>14</v>
      </c>
      <c r="L38" s="4">
        <v>58</v>
      </c>
      <c r="M38" s="3">
        <v>75</v>
      </c>
      <c r="N38" s="3">
        <v>75</v>
      </c>
      <c r="O38" s="6" t="s">
        <v>19</v>
      </c>
      <c r="P38" s="7" t="s">
        <v>19</v>
      </c>
      <c r="Q38" s="4">
        <v>159</v>
      </c>
      <c r="R38" s="3">
        <v>184</v>
      </c>
      <c r="S38" s="4">
        <v>363</v>
      </c>
      <c r="T38" s="3">
        <v>518</v>
      </c>
    </row>
    <row r="39" spans="1:20">
      <c r="A39" s="7" t="s">
        <v>214</v>
      </c>
      <c r="B39" s="11" t="s">
        <v>215</v>
      </c>
      <c r="C39" s="7" t="s">
        <v>91</v>
      </c>
      <c r="D39" s="7" t="s">
        <v>91</v>
      </c>
      <c r="E39" s="35">
        <v>44348</v>
      </c>
      <c r="F39" s="35"/>
      <c r="G39" s="3" t="s">
        <v>216</v>
      </c>
      <c r="H39" s="19" t="s">
        <v>217</v>
      </c>
      <c r="I39" s="3">
        <v>230</v>
      </c>
      <c r="J39" s="3"/>
      <c r="K39" s="3">
        <v>239</v>
      </c>
      <c r="L39" s="3">
        <v>248</v>
      </c>
      <c r="M39" s="4">
        <v>257</v>
      </c>
      <c r="N39" s="4">
        <v>266</v>
      </c>
      <c r="O39" s="6" t="s">
        <v>32</v>
      </c>
      <c r="P39" s="6" t="s">
        <v>512</v>
      </c>
      <c r="Q39" s="3">
        <v>284</v>
      </c>
      <c r="R39" s="3" t="s">
        <v>217</v>
      </c>
      <c r="S39" s="4">
        <v>364</v>
      </c>
      <c r="T39" s="3">
        <v>519</v>
      </c>
    </row>
    <row r="40" spans="1:20">
      <c r="A40" s="5" t="s">
        <v>218</v>
      </c>
      <c r="B40" s="5" t="s">
        <v>219</v>
      </c>
      <c r="C40" s="7" t="s">
        <v>506</v>
      </c>
      <c r="D40" s="7" t="s">
        <v>80</v>
      </c>
      <c r="E40" s="35">
        <v>45936</v>
      </c>
      <c r="F40" s="35"/>
      <c r="G40" s="3" t="s">
        <v>220</v>
      </c>
      <c r="H40" s="3" t="s">
        <v>221</v>
      </c>
      <c r="I40" s="4">
        <v>504</v>
      </c>
      <c r="J40" s="3"/>
      <c r="K40" s="3" t="s">
        <v>222</v>
      </c>
      <c r="L40" s="4">
        <v>505</v>
      </c>
      <c r="M40" s="4" t="s">
        <v>220</v>
      </c>
      <c r="N40" s="4" t="s">
        <v>220</v>
      </c>
      <c r="O40" s="6" t="s">
        <v>32</v>
      </c>
      <c r="P40" s="6" t="s">
        <v>513</v>
      </c>
      <c r="Q40" s="3" t="s">
        <v>220</v>
      </c>
      <c r="R40" s="3" t="s">
        <v>221</v>
      </c>
      <c r="S40" s="4">
        <v>509</v>
      </c>
      <c r="T40" s="29" t="s">
        <v>223</v>
      </c>
    </row>
    <row r="41" spans="1:20">
      <c r="A41" s="4" t="s">
        <v>224</v>
      </c>
      <c r="B41" s="9" t="s">
        <v>225</v>
      </c>
      <c r="C41" s="20" t="s">
        <v>506</v>
      </c>
      <c r="D41" s="7" t="s">
        <v>30</v>
      </c>
      <c r="E41" s="7" t="str">
        <f>VLOOKUP(A41,Hoja2!A:C,2,FALSE)</f>
        <v>07/04/2025</v>
      </c>
      <c r="F41" s="35">
        <f>VLOOKUP(A41,Hoja2!A:C,3,FALSE)</f>
        <v>45785</v>
      </c>
      <c r="G41" s="3" t="s">
        <v>226</v>
      </c>
      <c r="H41" s="20">
        <v>429</v>
      </c>
      <c r="I41" s="3">
        <v>95</v>
      </c>
      <c r="J41" s="3"/>
      <c r="K41" s="4" t="s">
        <v>227</v>
      </c>
      <c r="L41" s="3">
        <v>113</v>
      </c>
      <c r="M41" s="4">
        <v>107</v>
      </c>
      <c r="N41" s="4">
        <v>107</v>
      </c>
      <c r="O41" s="6" t="s">
        <v>19</v>
      </c>
      <c r="P41" s="7" t="s">
        <v>19</v>
      </c>
      <c r="Q41" s="4" t="s">
        <v>226</v>
      </c>
      <c r="R41" s="4">
        <v>212</v>
      </c>
      <c r="S41" s="4">
        <v>365</v>
      </c>
      <c r="T41" s="3">
        <v>520</v>
      </c>
    </row>
    <row r="42" spans="1:20">
      <c r="A42" s="7" t="s">
        <v>228</v>
      </c>
      <c r="B42" s="11" t="s">
        <v>229</v>
      </c>
      <c r="C42" s="8" t="s">
        <v>187</v>
      </c>
      <c r="D42" s="7" t="s">
        <v>23</v>
      </c>
      <c r="E42" s="7" t="str">
        <f>VLOOKUP(A42,Hoja2!A:C,2,FALSE)</f>
        <v>01/06/2021</v>
      </c>
      <c r="F42" s="35"/>
      <c r="G42" s="3" t="s">
        <v>229</v>
      </c>
      <c r="H42" s="19" t="s">
        <v>230</v>
      </c>
      <c r="I42" s="3">
        <v>231</v>
      </c>
      <c r="J42" s="3"/>
      <c r="K42" s="3">
        <v>240</v>
      </c>
      <c r="L42" s="3">
        <v>249</v>
      </c>
      <c r="M42" s="4" t="s">
        <v>231</v>
      </c>
      <c r="N42" s="4">
        <v>267</v>
      </c>
      <c r="O42" s="6" t="s">
        <v>32</v>
      </c>
      <c r="P42" s="6" t="s">
        <v>515</v>
      </c>
      <c r="Q42" s="3">
        <v>285</v>
      </c>
      <c r="R42" s="3" t="s">
        <v>230</v>
      </c>
      <c r="S42" s="4">
        <v>366</v>
      </c>
      <c r="T42" s="3">
        <v>521</v>
      </c>
    </row>
    <row r="43" spans="1:20">
      <c r="A43" s="6" t="s">
        <v>232</v>
      </c>
      <c r="B43" s="11" t="s">
        <v>233</v>
      </c>
      <c r="C43" s="8" t="s">
        <v>505</v>
      </c>
      <c r="D43" s="7" t="s">
        <v>30</v>
      </c>
      <c r="E43" s="7" t="str">
        <f>VLOOKUP(A43,Hoja2!A:C,2,FALSE)</f>
        <v>11/12/2023</v>
      </c>
      <c r="F43" s="35"/>
      <c r="G43" s="3" t="s">
        <v>234</v>
      </c>
      <c r="H43" s="19" t="s">
        <v>235</v>
      </c>
      <c r="I43" s="4" t="s">
        <v>231</v>
      </c>
      <c r="J43" s="3"/>
      <c r="K43" s="3">
        <v>43</v>
      </c>
      <c r="L43" s="4" t="s">
        <v>231</v>
      </c>
      <c r="M43" s="4">
        <v>85</v>
      </c>
      <c r="N43" s="4">
        <v>85</v>
      </c>
      <c r="O43" s="6" t="s">
        <v>32</v>
      </c>
      <c r="P43" s="6" t="s">
        <v>512</v>
      </c>
      <c r="Q43" s="4" t="s">
        <v>236</v>
      </c>
      <c r="R43" s="3" t="s">
        <v>235</v>
      </c>
      <c r="S43" s="4">
        <v>367</v>
      </c>
      <c r="T43" s="30" t="s">
        <v>236</v>
      </c>
    </row>
    <row r="44" spans="1:20">
      <c r="A44" s="3" t="s">
        <v>237</v>
      </c>
      <c r="B44" s="9" t="s">
        <v>238</v>
      </c>
      <c r="C44" s="7" t="s">
        <v>506</v>
      </c>
      <c r="D44" s="7" t="s">
        <v>17</v>
      </c>
      <c r="E44" s="7" t="str">
        <f>VLOOKUP(A44,Hoja2!A:C,2,FALSE)</f>
        <v>18/04/2023</v>
      </c>
      <c r="F44" s="35">
        <f>VLOOKUP(A44,Hoja2!A:C,3,FALSE)</f>
        <v>45708</v>
      </c>
      <c r="G44" s="3" t="s">
        <v>239</v>
      </c>
      <c r="H44" s="3">
        <v>430</v>
      </c>
      <c r="I44" s="3" t="s">
        <v>239</v>
      </c>
      <c r="J44" s="3" t="s">
        <v>240</v>
      </c>
      <c r="K44" s="3">
        <v>15</v>
      </c>
      <c r="L44" s="4" t="s">
        <v>241</v>
      </c>
      <c r="M44" s="4" t="s">
        <v>239</v>
      </c>
      <c r="N44" s="4" t="s">
        <v>239</v>
      </c>
      <c r="O44" s="6" t="s">
        <v>19</v>
      </c>
      <c r="P44" s="7" t="s">
        <v>19</v>
      </c>
      <c r="Q44" s="4" t="s">
        <v>239</v>
      </c>
      <c r="R44" s="3">
        <v>185</v>
      </c>
      <c r="S44" s="4">
        <v>368</v>
      </c>
      <c r="T44" s="3">
        <v>522</v>
      </c>
    </row>
    <row r="45" spans="1:20">
      <c r="A45" s="6" t="s">
        <v>242</v>
      </c>
      <c r="B45" s="11" t="s">
        <v>243</v>
      </c>
      <c r="C45" s="7" t="s">
        <v>506</v>
      </c>
      <c r="D45" s="7" t="s">
        <v>17</v>
      </c>
      <c r="E45" s="7" t="str">
        <f>VLOOKUP(A45,Hoja2!A:C,2,FALSE)</f>
        <v>11/08/2025</v>
      </c>
      <c r="F45" s="35"/>
      <c r="G45" s="3" t="s">
        <v>243</v>
      </c>
      <c r="H45" s="3">
        <v>431</v>
      </c>
      <c r="I45" s="3" t="s">
        <v>244</v>
      </c>
      <c r="J45" s="3"/>
      <c r="K45" s="4" t="s">
        <v>244</v>
      </c>
      <c r="L45" s="4" t="s">
        <v>245</v>
      </c>
      <c r="M45" s="4" t="s">
        <v>244</v>
      </c>
      <c r="N45" s="4" t="s">
        <v>244</v>
      </c>
      <c r="O45" s="6" t="s">
        <v>32</v>
      </c>
      <c r="P45" s="6" t="s">
        <v>513</v>
      </c>
      <c r="Q45" s="4" t="s">
        <v>243</v>
      </c>
      <c r="R45" s="3" t="s">
        <v>246</v>
      </c>
      <c r="S45" s="4">
        <v>369</v>
      </c>
      <c r="T45" s="30" t="s">
        <v>247</v>
      </c>
    </row>
    <row r="46" spans="1:20">
      <c r="A46" s="3" t="s">
        <v>248</v>
      </c>
      <c r="B46" s="9" t="s">
        <v>249</v>
      </c>
      <c r="C46" s="14" t="s">
        <v>505</v>
      </c>
      <c r="D46" s="7" t="s">
        <v>60</v>
      </c>
      <c r="E46" s="7" t="str">
        <f>VLOOKUP(A46,Hoja2!A:C,2,FALSE)</f>
        <v>01/05/2023</v>
      </c>
      <c r="F46" s="35"/>
      <c r="G46" s="3" t="s">
        <v>249</v>
      </c>
      <c r="H46" s="3" t="s">
        <v>250</v>
      </c>
      <c r="I46" s="3">
        <v>309</v>
      </c>
      <c r="J46" s="3"/>
      <c r="K46" s="3">
        <v>314</v>
      </c>
      <c r="L46" s="3">
        <v>319</v>
      </c>
      <c r="M46" s="4">
        <v>324</v>
      </c>
      <c r="N46" s="4">
        <v>329</v>
      </c>
      <c r="O46" s="6" t="s">
        <v>32</v>
      </c>
      <c r="P46" s="6" t="s">
        <v>512</v>
      </c>
      <c r="Q46" s="3" t="s">
        <v>249</v>
      </c>
      <c r="R46" s="3">
        <v>344</v>
      </c>
      <c r="S46" s="4">
        <v>370</v>
      </c>
      <c r="T46" s="30" t="s">
        <v>249</v>
      </c>
    </row>
    <row r="47" spans="1:20">
      <c r="A47" s="7" t="s">
        <v>251</v>
      </c>
      <c r="B47" s="11" t="s">
        <v>252</v>
      </c>
      <c r="C47" s="7" t="s">
        <v>91</v>
      </c>
      <c r="D47" s="7" t="s">
        <v>91</v>
      </c>
      <c r="E47" s="7" t="str">
        <f>VLOOKUP(A47,Hoja2!A:C,2,FALSE)</f>
        <v>20/06/2022</v>
      </c>
      <c r="F47" s="35"/>
      <c r="G47" s="3" t="s">
        <v>253</v>
      </c>
      <c r="H47" s="19" t="s">
        <v>254</v>
      </c>
      <c r="I47" s="3">
        <v>298</v>
      </c>
      <c r="J47" s="3"/>
      <c r="K47" s="3">
        <v>299</v>
      </c>
      <c r="L47" s="3">
        <v>300</v>
      </c>
      <c r="M47" s="4">
        <v>301</v>
      </c>
      <c r="N47" s="4">
        <v>302</v>
      </c>
      <c r="O47" s="6" t="s">
        <v>32</v>
      </c>
      <c r="P47" s="6" t="s">
        <v>513</v>
      </c>
      <c r="Q47" s="3">
        <v>304</v>
      </c>
      <c r="R47" s="3" t="s">
        <v>254</v>
      </c>
      <c r="S47" s="4">
        <v>371</v>
      </c>
      <c r="T47" s="3">
        <v>523</v>
      </c>
    </row>
    <row r="48" spans="1:20">
      <c r="A48" s="3" t="s">
        <v>255</v>
      </c>
      <c r="B48" s="3" t="s">
        <v>256</v>
      </c>
      <c r="C48" s="7" t="s">
        <v>506</v>
      </c>
      <c r="D48" s="7" t="s">
        <v>17</v>
      </c>
      <c r="E48" s="7" t="str">
        <f>VLOOKUP(A48,Hoja2!A:C,2,FALSE)</f>
        <v>12/04/2023</v>
      </c>
      <c r="F48" s="35">
        <f>VLOOKUP(A48,Hoja2!A:C,3,FALSE)</f>
        <v>45708</v>
      </c>
      <c r="G48" s="3" t="s">
        <v>257</v>
      </c>
      <c r="H48" s="3">
        <v>432</v>
      </c>
      <c r="I48" s="3" t="s">
        <v>258</v>
      </c>
      <c r="J48" s="3" t="s">
        <v>259</v>
      </c>
      <c r="K48" s="3">
        <v>16</v>
      </c>
      <c r="L48" s="4" t="s">
        <v>260</v>
      </c>
      <c r="M48" s="4" t="s">
        <v>257</v>
      </c>
      <c r="N48" s="4" t="s">
        <v>257</v>
      </c>
      <c r="O48" s="6" t="s">
        <v>19</v>
      </c>
      <c r="P48" s="7" t="s">
        <v>19</v>
      </c>
      <c r="Q48" s="4" t="s">
        <v>257</v>
      </c>
      <c r="R48" s="3">
        <v>186</v>
      </c>
      <c r="S48" s="4">
        <v>372</v>
      </c>
      <c r="T48" s="3">
        <v>524</v>
      </c>
    </row>
    <row r="49" spans="1:20">
      <c r="A49" s="3" t="s">
        <v>261</v>
      </c>
      <c r="B49" s="7" t="s">
        <v>262</v>
      </c>
      <c r="C49" s="8" t="s">
        <v>506</v>
      </c>
      <c r="D49" s="7" t="s">
        <v>30</v>
      </c>
      <c r="E49" s="7" t="str">
        <f>VLOOKUP(A49,Hoja2!A:C,2,FALSE)</f>
        <v>02/10/2024</v>
      </c>
      <c r="F49" s="35"/>
      <c r="G49" s="3" t="s">
        <v>263</v>
      </c>
      <c r="H49" s="19" t="s">
        <v>264</v>
      </c>
      <c r="I49" s="4" t="s">
        <v>265</v>
      </c>
      <c r="J49" s="3"/>
      <c r="K49" s="4" t="s">
        <v>265</v>
      </c>
      <c r="L49" s="4" t="s">
        <v>265</v>
      </c>
      <c r="M49" s="4" t="s">
        <v>265</v>
      </c>
      <c r="N49" s="4">
        <v>92</v>
      </c>
      <c r="O49" s="6" t="s">
        <v>32</v>
      </c>
      <c r="P49" s="6" t="s">
        <v>513</v>
      </c>
      <c r="Q49" s="4" t="s">
        <v>266</v>
      </c>
      <c r="R49" s="3" t="s">
        <v>264</v>
      </c>
      <c r="S49" s="4">
        <v>373</v>
      </c>
      <c r="T49" s="29" t="s">
        <v>265</v>
      </c>
    </row>
    <row r="50" spans="1:20">
      <c r="A50" s="5" t="s">
        <v>267</v>
      </c>
      <c r="B50" s="5" t="s">
        <v>268</v>
      </c>
      <c r="C50" s="7" t="s">
        <v>506</v>
      </c>
      <c r="D50" s="7" t="s">
        <v>17</v>
      </c>
      <c r="E50" s="7" t="str">
        <f>VLOOKUP(A50,Hoja2!A:C,2,FALSE)</f>
        <v>22/09/2025</v>
      </c>
      <c r="F50" s="35"/>
      <c r="G50" s="3" t="s">
        <v>269</v>
      </c>
      <c r="H50" s="3" t="s">
        <v>270</v>
      </c>
      <c r="I50" s="4" t="s">
        <v>269</v>
      </c>
      <c r="J50" s="3"/>
      <c r="K50" s="3" t="s">
        <v>269</v>
      </c>
      <c r="L50" s="4" t="s">
        <v>271</v>
      </c>
      <c r="M50" s="4" t="s">
        <v>272</v>
      </c>
      <c r="N50" s="4" t="s">
        <v>272</v>
      </c>
      <c r="O50" s="6" t="s">
        <v>32</v>
      </c>
      <c r="P50" s="6" t="s">
        <v>513</v>
      </c>
      <c r="Q50" s="3" t="s">
        <v>269</v>
      </c>
      <c r="R50" s="3" t="s">
        <v>270</v>
      </c>
      <c r="S50" s="4">
        <v>510</v>
      </c>
      <c r="T50" s="29" t="s">
        <v>273</v>
      </c>
    </row>
    <row r="51" spans="1:20">
      <c r="A51" s="3" t="s">
        <v>274</v>
      </c>
      <c r="B51" s="14" t="s">
        <v>275</v>
      </c>
      <c r="C51" s="14" t="s">
        <v>505</v>
      </c>
      <c r="D51" s="14" t="s">
        <v>115</v>
      </c>
      <c r="E51" s="7" t="str">
        <f>VLOOKUP(A51,Hoja2!A:C,2,FALSE)</f>
        <v>12/04/2023</v>
      </c>
      <c r="F51" s="35"/>
      <c r="G51" s="14" t="s">
        <v>275</v>
      </c>
      <c r="H51" s="14">
        <v>433</v>
      </c>
      <c r="I51" s="3">
        <v>307</v>
      </c>
      <c r="J51" s="3"/>
      <c r="K51" s="3">
        <v>312</v>
      </c>
      <c r="L51" s="3">
        <v>317</v>
      </c>
      <c r="M51" s="4">
        <v>322</v>
      </c>
      <c r="N51" s="4">
        <v>327</v>
      </c>
      <c r="O51" s="6" t="s">
        <v>32</v>
      </c>
      <c r="P51" s="6" t="s">
        <v>512</v>
      </c>
      <c r="Q51" s="3" t="s">
        <v>275</v>
      </c>
      <c r="R51" s="3">
        <v>342</v>
      </c>
      <c r="S51" s="4">
        <v>374</v>
      </c>
      <c r="T51" s="29" t="s">
        <v>275</v>
      </c>
    </row>
    <row r="52" spans="1:20">
      <c r="A52" s="3" t="s">
        <v>276</v>
      </c>
      <c r="B52" s="14" t="s">
        <v>277</v>
      </c>
      <c r="C52" s="14" t="s">
        <v>505</v>
      </c>
      <c r="D52" s="14" t="s">
        <v>115</v>
      </c>
      <c r="E52" s="7" t="str">
        <f>VLOOKUP(A52,Hoja2!A:C,2,FALSE)</f>
        <v>12/04/2023</v>
      </c>
      <c r="F52" s="35"/>
      <c r="G52" s="14" t="s">
        <v>277</v>
      </c>
      <c r="H52" s="14">
        <v>434</v>
      </c>
      <c r="I52" s="3">
        <v>306</v>
      </c>
      <c r="J52" s="3"/>
      <c r="K52" s="3">
        <v>311</v>
      </c>
      <c r="L52" s="3">
        <v>316</v>
      </c>
      <c r="M52" s="4">
        <v>321</v>
      </c>
      <c r="N52" s="4">
        <v>326</v>
      </c>
      <c r="O52" s="6" t="s">
        <v>32</v>
      </c>
      <c r="P52" s="6" t="s">
        <v>513</v>
      </c>
      <c r="Q52" s="3" t="s">
        <v>277</v>
      </c>
      <c r="R52" s="3">
        <v>341</v>
      </c>
      <c r="S52" s="4">
        <v>375</v>
      </c>
      <c r="T52" s="30" t="s">
        <v>277</v>
      </c>
    </row>
    <row r="53" spans="1:20">
      <c r="A53" s="3" t="s">
        <v>278</v>
      </c>
      <c r="B53" s="7" t="s">
        <v>279</v>
      </c>
      <c r="C53" s="20" t="s">
        <v>506</v>
      </c>
      <c r="D53" s="7" t="s">
        <v>30</v>
      </c>
      <c r="E53" s="7" t="str">
        <f>VLOOKUP(A53,Hoja2!A:C,2,FALSE)</f>
        <v>09/09/2024</v>
      </c>
      <c r="F53" s="35"/>
      <c r="G53" s="3" t="s">
        <v>280</v>
      </c>
      <c r="H53" s="19" t="s">
        <v>281</v>
      </c>
      <c r="I53" s="4" t="s">
        <v>280</v>
      </c>
      <c r="J53" s="3"/>
      <c r="K53" s="4" t="s">
        <v>280</v>
      </c>
      <c r="L53" s="4" t="s">
        <v>282</v>
      </c>
      <c r="M53" s="4" t="s">
        <v>283</v>
      </c>
      <c r="N53" s="4">
        <v>83</v>
      </c>
      <c r="O53" s="6" t="s">
        <v>32</v>
      </c>
      <c r="P53" s="6" t="s">
        <v>513</v>
      </c>
      <c r="Q53" s="3" t="s">
        <v>284</v>
      </c>
      <c r="R53" s="3" t="s">
        <v>281</v>
      </c>
      <c r="S53" s="4">
        <v>376</v>
      </c>
      <c r="T53" s="30" t="s">
        <v>285</v>
      </c>
    </row>
    <row r="54" spans="1:20">
      <c r="A54" s="5" t="s">
        <v>286</v>
      </c>
      <c r="B54" s="5" t="s">
        <v>287</v>
      </c>
      <c r="C54" s="20" t="s">
        <v>506</v>
      </c>
      <c r="D54" s="23" t="s">
        <v>30</v>
      </c>
      <c r="E54" s="7" t="str">
        <f>VLOOKUP(A54,Hoja2!A:C,2,FALSE)</f>
        <v>20/10/2025</v>
      </c>
      <c r="F54" s="35"/>
      <c r="G54" s="5" t="s">
        <v>287</v>
      </c>
      <c r="H54" s="5" t="s">
        <v>288</v>
      </c>
      <c r="I54" s="5">
        <v>543</v>
      </c>
      <c r="J54" s="5">
        <v>544</v>
      </c>
      <c r="K54" s="5" t="s">
        <v>502</v>
      </c>
      <c r="L54" s="5">
        <v>546</v>
      </c>
      <c r="M54" s="5">
        <v>547</v>
      </c>
      <c r="N54" s="4">
        <v>548</v>
      </c>
      <c r="O54" s="5" t="s">
        <v>32</v>
      </c>
      <c r="P54" s="6" t="s">
        <v>513</v>
      </c>
      <c r="Q54" s="5">
        <v>550</v>
      </c>
      <c r="R54" s="5">
        <v>551</v>
      </c>
      <c r="S54" s="4">
        <v>552</v>
      </c>
      <c r="T54" s="5">
        <v>554</v>
      </c>
    </row>
    <row r="55" spans="1:20">
      <c r="A55" s="4" t="s">
        <v>289</v>
      </c>
      <c r="B55" s="3" t="s">
        <v>290</v>
      </c>
      <c r="C55" s="7" t="s">
        <v>506</v>
      </c>
      <c r="D55" s="7" t="s">
        <v>17</v>
      </c>
      <c r="E55" s="35">
        <f>VLOOKUP(A55,Hoja2!A:C,2,FALSE)</f>
        <v>45621</v>
      </c>
      <c r="F55" s="35">
        <v>45632</v>
      </c>
      <c r="G55" s="3" t="s">
        <v>291</v>
      </c>
      <c r="H55" s="3">
        <v>435</v>
      </c>
      <c r="I55" s="3">
        <v>97</v>
      </c>
      <c r="J55" s="3"/>
      <c r="K55" s="3">
        <v>103</v>
      </c>
      <c r="L55" s="3">
        <v>115</v>
      </c>
      <c r="M55" s="4">
        <v>109</v>
      </c>
      <c r="N55" s="4">
        <v>109</v>
      </c>
      <c r="O55" s="4" t="s">
        <v>19</v>
      </c>
      <c r="P55" s="7" t="s">
        <v>19</v>
      </c>
      <c r="Q55" s="3">
        <v>170</v>
      </c>
      <c r="R55" s="4">
        <v>213</v>
      </c>
      <c r="S55" s="4">
        <v>377</v>
      </c>
      <c r="T55" s="3">
        <v>525</v>
      </c>
    </row>
    <row r="56" spans="1:20">
      <c r="A56" s="7" t="s">
        <v>292</v>
      </c>
      <c r="B56" s="7" t="s">
        <v>293</v>
      </c>
      <c r="C56" s="7" t="s">
        <v>91</v>
      </c>
      <c r="D56" s="7" t="s">
        <v>91</v>
      </c>
      <c r="E56" s="7" t="str">
        <f>VLOOKUP(A56,Hoja2!A:C,2,FALSE)</f>
        <v>24/01/2023</v>
      </c>
      <c r="F56" s="35">
        <f>VLOOKUP(A56,Hoja2!A:C,3,FALSE)</f>
        <v>45900</v>
      </c>
      <c r="G56" s="3" t="s">
        <v>294</v>
      </c>
      <c r="H56" s="19" t="s">
        <v>295</v>
      </c>
      <c r="I56" s="3">
        <v>232</v>
      </c>
      <c r="J56" s="3"/>
      <c r="K56" s="3">
        <v>241</v>
      </c>
      <c r="L56" s="3">
        <v>250</v>
      </c>
      <c r="M56" s="4">
        <v>259</v>
      </c>
      <c r="N56" s="4">
        <v>268</v>
      </c>
      <c r="O56" s="7" t="s">
        <v>19</v>
      </c>
      <c r="P56" s="7" t="s">
        <v>19</v>
      </c>
      <c r="Q56" s="3">
        <v>286</v>
      </c>
      <c r="R56" s="3" t="s">
        <v>295</v>
      </c>
      <c r="S56" s="4">
        <v>378</v>
      </c>
      <c r="T56" s="3">
        <v>526</v>
      </c>
    </row>
    <row r="57" spans="1:20">
      <c r="A57" s="3">
        <v>3</v>
      </c>
      <c r="B57" s="3" t="s">
        <v>296</v>
      </c>
      <c r="C57" s="8" t="s">
        <v>187</v>
      </c>
      <c r="D57" s="7" t="s">
        <v>187</v>
      </c>
      <c r="E57" s="35">
        <v>36892</v>
      </c>
      <c r="F57" s="35"/>
      <c r="G57" s="3" t="s">
        <v>296</v>
      </c>
      <c r="H57" s="3">
        <v>436</v>
      </c>
      <c r="I57" s="3" t="s">
        <v>296</v>
      </c>
      <c r="J57" s="3"/>
      <c r="K57" s="3">
        <v>17</v>
      </c>
      <c r="L57" s="3">
        <v>59</v>
      </c>
      <c r="M57" s="3">
        <v>76</v>
      </c>
      <c r="N57" s="3">
        <v>76</v>
      </c>
      <c r="O57" s="6" t="s">
        <v>32</v>
      </c>
      <c r="P57" s="6" t="s">
        <v>513</v>
      </c>
      <c r="Q57" s="4">
        <v>160</v>
      </c>
      <c r="R57" s="3">
        <v>187</v>
      </c>
      <c r="S57" s="4">
        <v>379</v>
      </c>
      <c r="T57" s="3">
        <v>527</v>
      </c>
    </row>
    <row r="58" spans="1:20">
      <c r="A58" s="3">
        <v>4</v>
      </c>
      <c r="B58" s="9" t="s">
        <v>297</v>
      </c>
      <c r="C58" s="8" t="s">
        <v>187</v>
      </c>
      <c r="D58" s="7" t="s">
        <v>187</v>
      </c>
      <c r="E58" s="35">
        <v>36892</v>
      </c>
      <c r="F58" s="35"/>
      <c r="G58" s="3" t="s">
        <v>297</v>
      </c>
      <c r="H58" s="3">
        <v>437</v>
      </c>
      <c r="I58" s="3" t="s">
        <v>297</v>
      </c>
      <c r="J58" s="3"/>
      <c r="K58" s="3">
        <v>18</v>
      </c>
      <c r="L58" s="4">
        <v>60</v>
      </c>
      <c r="M58" s="3">
        <v>77</v>
      </c>
      <c r="N58" s="3">
        <v>77</v>
      </c>
      <c r="O58" s="6" t="s">
        <v>32</v>
      </c>
      <c r="P58" s="6" t="s">
        <v>513</v>
      </c>
      <c r="Q58" s="4">
        <v>161</v>
      </c>
      <c r="R58" s="3">
        <v>188</v>
      </c>
      <c r="S58" s="4">
        <v>380</v>
      </c>
      <c r="T58" s="3">
        <v>528</v>
      </c>
    </row>
    <row r="59" spans="1:20">
      <c r="A59" s="16" t="s">
        <v>298</v>
      </c>
      <c r="B59" s="11" t="s">
        <v>299</v>
      </c>
      <c r="C59" s="7" t="s">
        <v>506</v>
      </c>
      <c r="D59" s="7" t="s">
        <v>80</v>
      </c>
      <c r="E59" s="7" t="str">
        <f>VLOOKUP(A59,Hoja2!A:C,2,FALSE)</f>
        <v>12/04/2023</v>
      </c>
      <c r="F59" s="35"/>
      <c r="G59" s="3" t="s">
        <v>300</v>
      </c>
      <c r="H59" s="3">
        <v>438</v>
      </c>
      <c r="I59" s="3">
        <v>24</v>
      </c>
      <c r="J59" s="3"/>
      <c r="K59" s="4" t="s">
        <v>300</v>
      </c>
      <c r="L59" s="4">
        <v>66</v>
      </c>
      <c r="M59" s="4" t="s">
        <v>300</v>
      </c>
      <c r="N59" s="4" t="s">
        <v>300</v>
      </c>
      <c r="O59" s="6" t="s">
        <v>32</v>
      </c>
      <c r="P59" s="6" t="s">
        <v>513</v>
      </c>
      <c r="Q59" s="4" t="s">
        <v>300</v>
      </c>
      <c r="R59" s="3">
        <v>196</v>
      </c>
      <c r="S59" s="4" t="s">
        <v>301</v>
      </c>
      <c r="T59" s="30" t="s">
        <v>300</v>
      </c>
    </row>
    <row r="60" spans="1:20">
      <c r="A60" s="15" t="s">
        <v>302</v>
      </c>
      <c r="B60" s="9" t="s">
        <v>303</v>
      </c>
      <c r="C60" s="7" t="s">
        <v>506</v>
      </c>
      <c r="D60" s="8" t="s">
        <v>17</v>
      </c>
      <c r="E60" s="35">
        <v>45582</v>
      </c>
      <c r="F60" s="35">
        <v>45607</v>
      </c>
      <c r="G60" s="3" t="s">
        <v>304</v>
      </c>
      <c r="H60" s="3">
        <v>439</v>
      </c>
      <c r="I60" s="3">
        <v>98</v>
      </c>
      <c r="J60" s="3"/>
      <c r="K60" s="3">
        <v>104</v>
      </c>
      <c r="L60" s="3">
        <v>116</v>
      </c>
      <c r="M60" s="4">
        <v>110</v>
      </c>
      <c r="N60" s="4">
        <v>110</v>
      </c>
      <c r="O60" s="17" t="s">
        <v>19</v>
      </c>
      <c r="P60" s="7" t="s">
        <v>19</v>
      </c>
      <c r="Q60" s="3">
        <v>171</v>
      </c>
      <c r="R60" s="4">
        <v>214</v>
      </c>
      <c r="S60" s="4">
        <v>381</v>
      </c>
      <c r="T60" s="3">
        <v>529</v>
      </c>
    </row>
    <row r="61" spans="1:20">
      <c r="A61" s="16" t="s">
        <v>305</v>
      </c>
      <c r="B61" s="11" t="s">
        <v>306</v>
      </c>
      <c r="C61" s="7" t="s">
        <v>506</v>
      </c>
      <c r="D61" s="7" t="s">
        <v>80</v>
      </c>
      <c r="E61" s="7" t="str">
        <f>VLOOKUP(A61,Hoja2!A:C,2,FALSE)</f>
        <v>15/01/2024</v>
      </c>
      <c r="F61" s="35">
        <f>VLOOKUP(A61,Hoja2!A:C,3,FALSE)</f>
        <v>45930</v>
      </c>
      <c r="G61" s="3" t="s">
        <v>307</v>
      </c>
      <c r="H61" s="3">
        <v>440</v>
      </c>
      <c r="I61" s="3">
        <v>27</v>
      </c>
      <c r="J61" s="3"/>
      <c r="K61" s="4" t="s">
        <v>308</v>
      </c>
      <c r="L61" s="4">
        <v>68</v>
      </c>
      <c r="M61" s="4" t="s">
        <v>307</v>
      </c>
      <c r="N61" s="4" t="s">
        <v>307</v>
      </c>
      <c r="O61" s="26" t="s">
        <v>19</v>
      </c>
      <c r="P61" s="7" t="s">
        <v>19</v>
      </c>
      <c r="Q61" s="4" t="s">
        <v>307</v>
      </c>
      <c r="R61" s="3">
        <v>198</v>
      </c>
      <c r="S61" s="4" t="s">
        <v>309</v>
      </c>
      <c r="T61" s="3">
        <v>530</v>
      </c>
    </row>
    <row r="62" spans="1:20">
      <c r="A62" s="12" t="s">
        <v>310</v>
      </c>
      <c r="B62" s="11" t="s">
        <v>311</v>
      </c>
      <c r="C62" s="8" t="s">
        <v>187</v>
      </c>
      <c r="D62" s="7" t="s">
        <v>23</v>
      </c>
      <c r="E62" s="7" t="str">
        <f>VLOOKUP(A62,Hoja2!A:C,2,FALSE)</f>
        <v>01/09/2022</v>
      </c>
      <c r="F62" s="35"/>
      <c r="G62" s="3" t="s">
        <v>312</v>
      </c>
      <c r="H62" s="19" t="s">
        <v>313</v>
      </c>
      <c r="I62" s="3">
        <v>233</v>
      </c>
      <c r="J62" s="3"/>
      <c r="K62" s="3">
        <v>242</v>
      </c>
      <c r="L62" s="3">
        <v>251</v>
      </c>
      <c r="M62" s="4">
        <v>260</v>
      </c>
      <c r="N62" s="4">
        <v>269</v>
      </c>
      <c r="O62" s="6" t="s">
        <v>32</v>
      </c>
      <c r="P62" s="6" t="s">
        <v>513</v>
      </c>
      <c r="Q62" s="3">
        <v>287</v>
      </c>
      <c r="R62" s="3" t="s">
        <v>314</v>
      </c>
      <c r="S62" s="4">
        <v>382</v>
      </c>
      <c r="T62" s="3">
        <v>531</v>
      </c>
    </row>
    <row r="63" spans="1:20">
      <c r="A63" s="13" t="s">
        <v>315</v>
      </c>
      <c r="B63" s="9" t="s">
        <v>316</v>
      </c>
      <c r="C63" s="7" t="s">
        <v>506</v>
      </c>
      <c r="D63" s="7" t="s">
        <v>17</v>
      </c>
      <c r="E63" s="7" t="str">
        <f>VLOOKUP(A63,Hoja2!A:C,2,FALSE)</f>
        <v>17/07/2023</v>
      </c>
      <c r="F63" s="35"/>
      <c r="G63" s="3" t="s">
        <v>317</v>
      </c>
      <c r="H63" s="20">
        <v>441</v>
      </c>
      <c r="I63" s="3" t="s">
        <v>317</v>
      </c>
      <c r="J63" s="3" t="s">
        <v>318</v>
      </c>
      <c r="K63" s="4" t="s">
        <v>319</v>
      </c>
      <c r="L63" s="4" t="s">
        <v>320</v>
      </c>
      <c r="M63" s="4" t="s">
        <v>321</v>
      </c>
      <c r="N63" s="4" t="s">
        <v>321</v>
      </c>
      <c r="O63" s="6" t="s">
        <v>32</v>
      </c>
      <c r="P63" s="6" t="s">
        <v>513</v>
      </c>
      <c r="Q63" s="4" t="s">
        <v>321</v>
      </c>
      <c r="R63" s="3">
        <v>189</v>
      </c>
      <c r="S63" s="4">
        <v>383</v>
      </c>
      <c r="T63" s="30" t="s">
        <v>321</v>
      </c>
    </row>
    <row r="64" spans="1:20">
      <c r="A64" s="12" t="s">
        <v>322</v>
      </c>
      <c r="B64" s="11" t="s">
        <v>323</v>
      </c>
      <c r="C64" s="8" t="s">
        <v>187</v>
      </c>
      <c r="D64" s="7" t="s">
        <v>23</v>
      </c>
      <c r="E64" s="7" t="str">
        <f>VLOOKUP(A64,Hoja2!A:C,2,FALSE)</f>
        <v>01/08/2024</v>
      </c>
      <c r="F64" s="35"/>
      <c r="G64" s="3" t="s">
        <v>324</v>
      </c>
      <c r="H64" s="19" t="s">
        <v>325</v>
      </c>
      <c r="I64" s="3">
        <v>234</v>
      </c>
      <c r="J64" s="3"/>
      <c r="K64" s="3">
        <v>243</v>
      </c>
      <c r="L64" s="3">
        <v>252</v>
      </c>
      <c r="M64" s="4">
        <v>261</v>
      </c>
      <c r="N64" s="4">
        <v>270</v>
      </c>
      <c r="O64" s="6" t="s">
        <v>32</v>
      </c>
      <c r="P64" s="6" t="s">
        <v>513</v>
      </c>
      <c r="Q64" s="3">
        <v>288</v>
      </c>
      <c r="R64" s="3" t="s">
        <v>326</v>
      </c>
      <c r="S64" s="4">
        <v>384</v>
      </c>
      <c r="T64" s="3">
        <v>532</v>
      </c>
    </row>
    <row r="65" spans="1:20">
      <c r="A65" s="5" t="s">
        <v>327</v>
      </c>
      <c r="B65" s="5" t="s">
        <v>328</v>
      </c>
      <c r="C65" s="20" t="s">
        <v>506</v>
      </c>
      <c r="D65" s="23" t="s">
        <v>30</v>
      </c>
      <c r="E65" s="7" t="str">
        <f>VLOOKUP(A65,Hoja2!A:C,2,FALSE)</f>
        <v>16/07/2025</v>
      </c>
      <c r="F65" s="35">
        <f>VLOOKUP(A65,Hoja2!A:C,3,FALSE)</f>
        <v>45945</v>
      </c>
      <c r="G65" s="3" t="s">
        <v>329</v>
      </c>
      <c r="H65" s="19" t="s">
        <v>330</v>
      </c>
      <c r="I65" s="4" t="s">
        <v>331</v>
      </c>
      <c r="J65" s="3">
        <v>495</v>
      </c>
      <c r="K65" s="4" t="s">
        <v>332</v>
      </c>
      <c r="L65" s="4">
        <v>497</v>
      </c>
      <c r="M65" s="4" t="s">
        <v>331</v>
      </c>
      <c r="N65" s="4">
        <v>499</v>
      </c>
      <c r="O65" s="6" t="s">
        <v>19</v>
      </c>
      <c r="P65" s="7" t="s">
        <v>19</v>
      </c>
      <c r="Q65" s="4" t="s">
        <v>333</v>
      </c>
      <c r="R65" s="4">
        <v>502</v>
      </c>
      <c r="S65" s="4">
        <v>503</v>
      </c>
      <c r="T65" s="29" t="s">
        <v>334</v>
      </c>
    </row>
    <row r="66" spans="1:20" s="3" customFormat="1">
      <c r="A66" s="42" t="s">
        <v>449</v>
      </c>
      <c r="B66" s="11" t="s">
        <v>507</v>
      </c>
      <c r="C66" s="20" t="s">
        <v>505</v>
      </c>
      <c r="D66" s="23" t="s">
        <v>80</v>
      </c>
      <c r="E66" s="35">
        <v>36892</v>
      </c>
      <c r="F66" s="35">
        <v>45820</v>
      </c>
      <c r="G66" s="11" t="s">
        <v>508</v>
      </c>
      <c r="H66" s="14" t="s">
        <v>509</v>
      </c>
      <c r="I66" s="4">
        <v>565</v>
      </c>
      <c r="J66" s="3">
        <v>566</v>
      </c>
      <c r="K66" s="4">
        <v>567</v>
      </c>
      <c r="L66" s="4">
        <v>568</v>
      </c>
      <c r="M66" s="4">
        <v>569</v>
      </c>
      <c r="N66" s="4">
        <v>570</v>
      </c>
      <c r="O66" s="6" t="s">
        <v>19</v>
      </c>
      <c r="P66" s="7" t="s">
        <v>19</v>
      </c>
      <c r="Q66" s="4">
        <v>571</v>
      </c>
      <c r="R66" s="4">
        <v>572</v>
      </c>
      <c r="S66" s="4">
        <v>573</v>
      </c>
      <c r="T66" s="41">
        <v>574</v>
      </c>
    </row>
    <row r="67" spans="1:20">
      <c r="A67" s="13">
        <v>5</v>
      </c>
      <c r="B67" s="17" t="s">
        <v>335</v>
      </c>
      <c r="C67" s="8" t="s">
        <v>187</v>
      </c>
      <c r="D67" s="7" t="s">
        <v>187</v>
      </c>
      <c r="E67" s="35">
        <v>36892</v>
      </c>
      <c r="F67" s="35">
        <v>36893</v>
      </c>
      <c r="G67" s="3" t="s">
        <v>335</v>
      </c>
      <c r="H67" s="20">
        <v>442</v>
      </c>
      <c r="I67" s="4" t="s">
        <v>335</v>
      </c>
      <c r="J67" s="3"/>
      <c r="K67" s="3">
        <v>19</v>
      </c>
      <c r="L67" s="3">
        <v>61</v>
      </c>
      <c r="M67" s="3">
        <v>78</v>
      </c>
      <c r="N67" s="3">
        <v>78</v>
      </c>
      <c r="O67" s="9" t="s">
        <v>19</v>
      </c>
      <c r="P67" s="7" t="s">
        <v>19</v>
      </c>
      <c r="Q67" s="4">
        <v>162</v>
      </c>
      <c r="R67" s="3">
        <v>190</v>
      </c>
      <c r="S67" s="4">
        <v>385</v>
      </c>
      <c r="T67" s="3">
        <v>533</v>
      </c>
    </row>
    <row r="68" spans="1:20">
      <c r="A68" s="13" t="s">
        <v>336</v>
      </c>
      <c r="B68" s="9" t="s">
        <v>337</v>
      </c>
      <c r="C68" s="8" t="s">
        <v>187</v>
      </c>
      <c r="D68" s="7" t="s">
        <v>187</v>
      </c>
      <c r="E68" s="35">
        <v>36892</v>
      </c>
      <c r="F68" s="35">
        <v>36893</v>
      </c>
      <c r="G68" s="3" t="s">
        <v>337</v>
      </c>
      <c r="H68" s="20">
        <v>443</v>
      </c>
      <c r="I68" s="4" t="s">
        <v>337</v>
      </c>
      <c r="J68" s="3" t="s">
        <v>338</v>
      </c>
      <c r="K68" s="3">
        <v>20</v>
      </c>
      <c r="L68" s="4">
        <v>62</v>
      </c>
      <c r="M68" s="3" t="s">
        <v>337</v>
      </c>
      <c r="N68" s="3" t="s">
        <v>337</v>
      </c>
      <c r="O68" s="9" t="s">
        <v>19</v>
      </c>
      <c r="P68" s="7" t="s">
        <v>19</v>
      </c>
      <c r="Q68" s="4">
        <v>163</v>
      </c>
      <c r="R68" s="3">
        <v>191</v>
      </c>
      <c r="S68" s="4">
        <v>386</v>
      </c>
      <c r="T68" s="3">
        <v>534</v>
      </c>
    </row>
    <row r="69" spans="1:20">
      <c r="A69" s="13">
        <v>6</v>
      </c>
      <c r="B69" s="9" t="s">
        <v>339</v>
      </c>
      <c r="C69" s="8" t="s">
        <v>187</v>
      </c>
      <c r="D69" s="7" t="s">
        <v>187</v>
      </c>
      <c r="E69" s="35">
        <v>36892</v>
      </c>
      <c r="F69" s="35">
        <v>36893</v>
      </c>
      <c r="G69" s="3" t="s">
        <v>340</v>
      </c>
      <c r="H69" s="20">
        <v>444</v>
      </c>
      <c r="I69" s="3" t="s">
        <v>339</v>
      </c>
      <c r="J69" s="3"/>
      <c r="K69" s="21">
        <v>21</v>
      </c>
      <c r="L69" s="4">
        <v>63</v>
      </c>
      <c r="M69" s="3">
        <v>80</v>
      </c>
      <c r="N69" s="3">
        <v>80</v>
      </c>
      <c r="O69" s="9" t="s">
        <v>19</v>
      </c>
      <c r="P69" s="7" t="s">
        <v>19</v>
      </c>
      <c r="Q69" s="4">
        <v>164</v>
      </c>
      <c r="R69" s="3">
        <v>192</v>
      </c>
      <c r="S69" s="4">
        <v>387</v>
      </c>
      <c r="T69" s="3">
        <v>535</v>
      </c>
    </row>
    <row r="70" spans="1:20">
      <c r="A70" s="13" t="s">
        <v>341</v>
      </c>
      <c r="B70" s="18" t="s">
        <v>342</v>
      </c>
      <c r="C70" s="14" t="s">
        <v>505</v>
      </c>
      <c r="D70" s="22" t="s">
        <v>115</v>
      </c>
      <c r="E70" s="7" t="str">
        <f>VLOOKUP(A70,Hoja2!A:C,2,FALSE)</f>
        <v>01/05/2023</v>
      </c>
      <c r="F70" s="35"/>
      <c r="G70" s="14" t="s">
        <v>342</v>
      </c>
      <c r="H70" s="20">
        <v>445</v>
      </c>
      <c r="I70" s="3">
        <v>305</v>
      </c>
      <c r="J70" s="3"/>
      <c r="K70" s="3">
        <v>310</v>
      </c>
      <c r="L70" s="3">
        <v>315</v>
      </c>
      <c r="M70" s="4">
        <v>320</v>
      </c>
      <c r="N70" s="4">
        <v>325</v>
      </c>
      <c r="O70" s="9" t="s">
        <v>32</v>
      </c>
      <c r="P70" s="43" t="s">
        <v>513</v>
      </c>
      <c r="Q70" s="3" t="s">
        <v>342</v>
      </c>
      <c r="R70" s="3">
        <v>340</v>
      </c>
      <c r="S70" s="4">
        <v>388</v>
      </c>
      <c r="T70" s="3">
        <v>536</v>
      </c>
    </row>
    <row r="71" spans="1:20">
      <c r="A71" s="12" t="s">
        <v>343</v>
      </c>
      <c r="B71" s="24" t="s">
        <v>344</v>
      </c>
      <c r="C71" s="40" t="s">
        <v>505</v>
      </c>
      <c r="D71" s="7" t="s">
        <v>80</v>
      </c>
      <c r="E71" s="7" t="str">
        <f>VLOOKUP(A71,Hoja2!A:C,2,FALSE)</f>
        <v>07/08/2024</v>
      </c>
      <c r="F71" s="35"/>
      <c r="G71" s="14" t="s">
        <v>345</v>
      </c>
      <c r="H71" s="20">
        <v>452</v>
      </c>
      <c r="I71" s="3">
        <v>453</v>
      </c>
      <c r="J71" s="3">
        <v>454</v>
      </c>
      <c r="K71" s="3" t="s">
        <v>346</v>
      </c>
      <c r="L71" s="3">
        <v>456</v>
      </c>
      <c r="M71" s="4">
        <v>457</v>
      </c>
      <c r="N71" s="4">
        <v>458</v>
      </c>
      <c r="O71" s="11" t="s">
        <v>32</v>
      </c>
      <c r="P71" s="7" t="s">
        <v>512</v>
      </c>
      <c r="Q71" s="4" t="s">
        <v>345</v>
      </c>
      <c r="R71" s="4">
        <v>461</v>
      </c>
      <c r="S71" s="4">
        <v>462</v>
      </c>
      <c r="T71" s="29" t="s">
        <v>347</v>
      </c>
    </row>
    <row r="72" spans="1:20">
      <c r="A72" s="13" t="s">
        <v>348</v>
      </c>
      <c r="B72" s="9" t="s">
        <v>349</v>
      </c>
      <c r="C72" s="7" t="s">
        <v>506</v>
      </c>
      <c r="D72" s="8" t="s">
        <v>17</v>
      </c>
      <c r="E72" s="7" t="str">
        <f>VLOOKUP(A72,Hoja2!A:C,2,FALSE)</f>
        <v>03/03/2025</v>
      </c>
      <c r="F72" s="35"/>
      <c r="G72" s="3" t="s">
        <v>350</v>
      </c>
      <c r="H72" s="20">
        <v>446</v>
      </c>
      <c r="I72" s="3" t="s">
        <v>350</v>
      </c>
      <c r="J72" s="3"/>
      <c r="K72" s="4" t="s">
        <v>351</v>
      </c>
      <c r="L72" s="4" t="s">
        <v>352</v>
      </c>
      <c r="M72" s="4" t="s">
        <v>350</v>
      </c>
      <c r="N72" s="4" t="s">
        <v>350</v>
      </c>
      <c r="O72" s="9" t="s">
        <v>32</v>
      </c>
      <c r="P72" s="7" t="s">
        <v>513</v>
      </c>
      <c r="Q72" s="4" t="s">
        <v>350</v>
      </c>
      <c r="R72" s="3" t="s">
        <v>353</v>
      </c>
      <c r="S72" s="4">
        <v>389</v>
      </c>
      <c r="T72" s="29" t="s">
        <v>354</v>
      </c>
    </row>
    <row r="73" spans="1:20">
      <c r="A73" s="13">
        <v>117</v>
      </c>
      <c r="B73" s="9" t="s">
        <v>355</v>
      </c>
      <c r="C73" s="8" t="s">
        <v>187</v>
      </c>
      <c r="D73" s="7" t="s">
        <v>187</v>
      </c>
      <c r="E73" s="35">
        <v>36892</v>
      </c>
      <c r="F73" s="35">
        <v>36893</v>
      </c>
      <c r="G73" s="3" t="s">
        <v>355</v>
      </c>
      <c r="H73" s="20">
        <v>447</v>
      </c>
      <c r="I73" s="3" t="s">
        <v>355</v>
      </c>
      <c r="J73" s="3"/>
      <c r="K73" s="3">
        <v>119</v>
      </c>
      <c r="L73" s="3">
        <v>121</v>
      </c>
      <c r="M73" s="4">
        <v>123</v>
      </c>
      <c r="N73" s="4">
        <v>123</v>
      </c>
      <c r="O73" s="9" t="s">
        <v>19</v>
      </c>
      <c r="P73" s="7" t="s">
        <v>19</v>
      </c>
      <c r="Q73" s="3">
        <v>172</v>
      </c>
      <c r="R73" s="4">
        <v>215</v>
      </c>
      <c r="S73" s="4">
        <v>390</v>
      </c>
      <c r="T73" s="3">
        <v>537</v>
      </c>
    </row>
    <row r="74" spans="1:20">
      <c r="A74" s="3">
        <v>118</v>
      </c>
      <c r="B74" s="3" t="s">
        <v>356</v>
      </c>
      <c r="C74" s="8" t="s">
        <v>187</v>
      </c>
      <c r="D74" s="7" t="s">
        <v>187</v>
      </c>
      <c r="E74" s="35">
        <v>36892</v>
      </c>
      <c r="F74" s="35">
        <v>36893</v>
      </c>
      <c r="G74" s="3" t="s">
        <v>356</v>
      </c>
      <c r="H74" s="20">
        <v>448</v>
      </c>
      <c r="I74" s="3" t="s">
        <v>356</v>
      </c>
      <c r="J74" s="3"/>
      <c r="K74" s="3">
        <v>120</v>
      </c>
      <c r="L74" s="3">
        <v>122</v>
      </c>
      <c r="M74" s="4">
        <v>124</v>
      </c>
      <c r="N74" s="4">
        <v>124</v>
      </c>
      <c r="O74" s="3" t="s">
        <v>19</v>
      </c>
      <c r="P74" s="7" t="s">
        <v>19</v>
      </c>
      <c r="Q74" s="3">
        <v>173</v>
      </c>
      <c r="R74" s="4">
        <v>216</v>
      </c>
      <c r="S74" s="4">
        <v>391</v>
      </c>
      <c r="T74" s="3">
        <v>538</v>
      </c>
    </row>
    <row r="75" spans="1:20">
      <c r="A75" s="3">
        <v>7</v>
      </c>
      <c r="B75" s="3" t="s">
        <v>357</v>
      </c>
      <c r="C75" s="8" t="s">
        <v>187</v>
      </c>
      <c r="D75" s="7" t="s">
        <v>187</v>
      </c>
      <c r="E75" s="35">
        <v>36892</v>
      </c>
      <c r="F75" s="35">
        <v>36893</v>
      </c>
      <c r="G75" s="3" t="s">
        <v>358</v>
      </c>
      <c r="H75" s="20">
        <v>449</v>
      </c>
      <c r="I75" s="3" t="s">
        <v>357</v>
      </c>
      <c r="J75" s="3"/>
      <c r="K75" s="3">
        <v>22</v>
      </c>
      <c r="L75" s="4">
        <v>64</v>
      </c>
      <c r="M75" s="3">
        <v>81</v>
      </c>
      <c r="N75" s="3">
        <v>81</v>
      </c>
      <c r="O75" s="3" t="s">
        <v>19</v>
      </c>
      <c r="P75" s="7" t="s">
        <v>19</v>
      </c>
      <c r="Q75" s="4">
        <v>165</v>
      </c>
      <c r="R75" s="3">
        <v>193</v>
      </c>
      <c r="S75" s="4">
        <v>392</v>
      </c>
      <c r="T75" s="3">
        <v>539</v>
      </c>
    </row>
    <row r="76" spans="1:20">
      <c r="A76" s="3" t="s">
        <v>452</v>
      </c>
      <c r="B76" s="3" t="s">
        <v>359</v>
      </c>
      <c r="C76" s="8" t="s">
        <v>187</v>
      </c>
      <c r="D76" s="3" t="s">
        <v>23</v>
      </c>
      <c r="E76" s="35">
        <v>36892</v>
      </c>
      <c r="F76" s="35"/>
      <c r="G76" s="3" t="s">
        <v>359</v>
      </c>
      <c r="H76" s="4" t="s">
        <v>360</v>
      </c>
      <c r="I76" s="3">
        <v>464</v>
      </c>
      <c r="J76" s="3">
        <v>465</v>
      </c>
      <c r="K76" s="3">
        <v>466</v>
      </c>
      <c r="L76" s="3">
        <v>467</v>
      </c>
      <c r="M76" s="4">
        <v>468</v>
      </c>
      <c r="N76" s="4">
        <v>469</v>
      </c>
      <c r="O76" s="3" t="s">
        <v>32</v>
      </c>
      <c r="P76" s="7" t="s">
        <v>515</v>
      </c>
      <c r="Q76" s="4">
        <v>471</v>
      </c>
      <c r="R76" s="4">
        <v>472</v>
      </c>
      <c r="S76" s="4">
        <v>473</v>
      </c>
      <c r="T76" s="3">
        <v>540</v>
      </c>
    </row>
    <row r="77" spans="1:20">
      <c r="A77" s="7" t="s">
        <v>361</v>
      </c>
      <c r="B77" s="7" t="s">
        <v>362</v>
      </c>
      <c r="C77" s="7" t="s">
        <v>91</v>
      </c>
      <c r="D77" s="7" t="s">
        <v>91</v>
      </c>
      <c r="E77" s="7" t="str">
        <f>VLOOKUP(A77,Hoja2!A:C,2,FALSE)</f>
        <v>22/03/2023</v>
      </c>
      <c r="F77" s="35"/>
      <c r="G77" s="3" t="s">
        <v>363</v>
      </c>
      <c r="H77" s="19" t="s">
        <v>364</v>
      </c>
      <c r="I77" s="3">
        <v>235</v>
      </c>
      <c r="J77" s="3"/>
      <c r="K77" s="3">
        <v>244</v>
      </c>
      <c r="L77" s="3">
        <v>253</v>
      </c>
      <c r="M77" s="4">
        <v>262</v>
      </c>
      <c r="N77" s="4">
        <v>271</v>
      </c>
      <c r="O77" s="7" t="s">
        <v>32</v>
      </c>
      <c r="P77" s="7" t="s">
        <v>513</v>
      </c>
      <c r="Q77" s="3">
        <v>297</v>
      </c>
      <c r="R77" s="3" t="s">
        <v>364</v>
      </c>
      <c r="S77" s="4">
        <v>393</v>
      </c>
      <c r="T77" s="3">
        <v>541</v>
      </c>
    </row>
    <row r="78" spans="1:20">
      <c r="A78" s="3" t="s">
        <v>365</v>
      </c>
      <c r="B78" s="3" t="s">
        <v>366</v>
      </c>
      <c r="C78" s="7" t="s">
        <v>506</v>
      </c>
      <c r="D78" s="3" t="s">
        <v>17</v>
      </c>
      <c r="E78" s="7" t="str">
        <f>VLOOKUP(A78,Hoja2!A:C,2,FALSE)</f>
        <v>05/05/2023</v>
      </c>
      <c r="F78" s="35"/>
      <c r="G78" s="21" t="s">
        <v>367</v>
      </c>
      <c r="H78" s="20">
        <v>450</v>
      </c>
      <c r="I78" s="3" t="s">
        <v>368</v>
      </c>
      <c r="J78" s="3" t="s">
        <v>369</v>
      </c>
      <c r="K78" s="4" t="s">
        <v>367</v>
      </c>
      <c r="L78" s="4" t="s">
        <v>368</v>
      </c>
      <c r="M78" s="4" t="s">
        <v>367</v>
      </c>
      <c r="N78" s="4" t="s">
        <v>367</v>
      </c>
      <c r="O78" s="3" t="s">
        <v>32</v>
      </c>
      <c r="P78" s="7" t="s">
        <v>513</v>
      </c>
      <c r="Q78" s="4" t="s">
        <v>367</v>
      </c>
      <c r="R78" s="3">
        <v>194</v>
      </c>
      <c r="S78" s="4">
        <v>394</v>
      </c>
      <c r="T78" s="30" t="s">
        <v>370</v>
      </c>
    </row>
    <row r="79" spans="1:20">
      <c r="A79" s="4" t="s">
        <v>371</v>
      </c>
      <c r="B79" s="3" t="s">
        <v>372</v>
      </c>
      <c r="C79" s="7" t="s">
        <v>506</v>
      </c>
      <c r="D79" s="7" t="s">
        <v>17</v>
      </c>
      <c r="E79" s="7" t="str">
        <f>VLOOKUP(A79,Hoja2!A:C,2,FALSE)</f>
        <v>03/03/2025</v>
      </c>
      <c r="F79" s="35">
        <f>VLOOKUP(A79,Hoja2!A:C,3,FALSE)</f>
        <v>45785</v>
      </c>
      <c r="G79" s="3" t="s">
        <v>373</v>
      </c>
      <c r="H79" s="20" t="s">
        <v>510</v>
      </c>
      <c r="I79" s="3">
        <v>96</v>
      </c>
      <c r="J79" s="3"/>
      <c r="K79" s="3">
        <v>102</v>
      </c>
      <c r="L79" s="3">
        <v>114</v>
      </c>
      <c r="M79" s="4">
        <v>108</v>
      </c>
      <c r="N79" s="4">
        <v>108</v>
      </c>
      <c r="O79" s="4" t="s">
        <v>19</v>
      </c>
      <c r="P79" s="7" t="s">
        <v>19</v>
      </c>
      <c r="Q79" s="4" t="s">
        <v>373</v>
      </c>
      <c r="R79" s="3" t="s">
        <v>374</v>
      </c>
      <c r="S79" s="4">
        <v>407</v>
      </c>
      <c r="T79" s="3">
        <v>542</v>
      </c>
    </row>
  </sheetData>
  <conditionalFormatting sqref="A66">
    <cfRule type="duplicateValues" dxfId="0" priority="1"/>
  </conditionalFormatting>
  <hyperlinks>
    <hyperlink ref="H42" r:id="rId1"/>
    <hyperlink ref="H64" r:id="rId2"/>
    <hyperlink ref="H39" r:id="rId3"/>
    <hyperlink ref="H14" r:id="rId4"/>
    <hyperlink ref="H77" r:id="rId5"/>
    <hyperlink ref="H15" r:id="rId6"/>
    <hyperlink ref="H37" r:id="rId7"/>
    <hyperlink ref="H47" r:id="rId8"/>
    <hyperlink ref="H43" r:id="rId9"/>
    <hyperlink ref="H18" r:id="rId10"/>
    <hyperlink ref="H56" r:id="rId11"/>
    <hyperlink ref="H62" r:id="rId12"/>
    <hyperlink ref="H30" r:id="rId13"/>
    <hyperlink ref="H49" r:id="rId14"/>
    <hyperlink ref="H31" r:id="rId15"/>
    <hyperlink ref="H53" r:id="rId16"/>
    <hyperlink ref="H7" r:id="rId17"/>
    <hyperlink ref="H16" r:id="rId18"/>
    <hyperlink ref="H28" r:id="rId19"/>
    <hyperlink ref="H3" r:id="rId20"/>
    <hyperlink ref="H23" r:id="rId21"/>
    <hyperlink ref="H22" r:id="rId22"/>
    <hyperlink ref="R5" r:id="rId23"/>
    <hyperlink ref="H5" r:id="rId24"/>
  </hyperlinks>
  <pageMargins left="0.7" right="0.7" top="0.75" bottom="0.75" header="0.3" footer="0.3"/>
  <pageSetup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workbookViewId="0">
      <selection activeCell="B142" sqref="B142"/>
    </sheetView>
  </sheetViews>
  <sheetFormatPr baseColWidth="10" defaultRowHeight="14.5"/>
  <sheetData>
    <row r="1" spans="1:3">
      <c r="A1" s="31" t="s">
        <v>376</v>
      </c>
      <c r="B1" s="36" t="s">
        <v>454</v>
      </c>
      <c r="C1" s="37" t="s">
        <v>455</v>
      </c>
    </row>
    <row r="2" spans="1:3">
      <c r="A2" s="32" t="s">
        <v>377</v>
      </c>
      <c r="B2" s="38">
        <v>45026</v>
      </c>
      <c r="C2" s="38">
        <v>45057</v>
      </c>
    </row>
    <row r="3" spans="1:3">
      <c r="A3" s="32" t="s">
        <v>378</v>
      </c>
      <c r="B3" s="38">
        <v>44714</v>
      </c>
      <c r="C3" s="38">
        <v>45289</v>
      </c>
    </row>
    <row r="4" spans="1:3">
      <c r="A4" s="32" t="s">
        <v>379</v>
      </c>
      <c r="B4" s="38">
        <v>44722</v>
      </c>
      <c r="C4" s="38">
        <v>45291</v>
      </c>
    </row>
    <row r="5" spans="1:3">
      <c r="A5" s="32" t="s">
        <v>380</v>
      </c>
      <c r="B5" s="38">
        <v>45008</v>
      </c>
      <c r="C5" s="38">
        <v>45387</v>
      </c>
    </row>
    <row r="6" spans="1:3">
      <c r="A6" s="32" t="s">
        <v>381</v>
      </c>
      <c r="B6" s="38">
        <v>44556</v>
      </c>
      <c r="C6" s="38">
        <v>45443</v>
      </c>
    </row>
    <row r="7" spans="1:3">
      <c r="A7" s="32" t="s">
        <v>382</v>
      </c>
      <c r="B7" s="38">
        <v>45028</v>
      </c>
      <c r="C7" s="38">
        <v>45042</v>
      </c>
    </row>
    <row r="8" spans="1:3">
      <c r="A8" s="32" t="s">
        <v>383</v>
      </c>
      <c r="B8" s="38">
        <v>45028</v>
      </c>
      <c r="C8" s="38">
        <v>45042</v>
      </c>
    </row>
    <row r="9" spans="1:3">
      <c r="A9" s="32" t="s">
        <v>384</v>
      </c>
      <c r="B9" s="38">
        <v>45034</v>
      </c>
      <c r="C9" s="38">
        <v>45076</v>
      </c>
    </row>
    <row r="10" spans="1:3">
      <c r="A10" s="32" t="s">
        <v>385</v>
      </c>
      <c r="B10" s="38">
        <v>45028</v>
      </c>
      <c r="C10" s="38">
        <v>45083</v>
      </c>
    </row>
    <row r="11" spans="1:3">
      <c r="A11" s="32" t="s">
        <v>386</v>
      </c>
      <c r="B11" s="38">
        <v>45028</v>
      </c>
      <c r="C11" s="38">
        <v>45096</v>
      </c>
    </row>
    <row r="12" spans="1:3">
      <c r="A12" s="32" t="s">
        <v>387</v>
      </c>
      <c r="B12" s="38">
        <v>45066</v>
      </c>
      <c r="C12" s="38">
        <v>45097</v>
      </c>
    </row>
    <row r="13" spans="1:3">
      <c r="A13" s="32" t="s">
        <v>388</v>
      </c>
      <c r="B13" s="38">
        <v>45083</v>
      </c>
      <c r="C13" s="38">
        <v>45097</v>
      </c>
    </row>
    <row r="14" spans="1:3">
      <c r="A14" s="32" t="s">
        <v>389</v>
      </c>
      <c r="B14" s="38">
        <v>45028</v>
      </c>
      <c r="C14" s="38">
        <v>45118</v>
      </c>
    </row>
    <row r="15" spans="1:3">
      <c r="A15" s="32" t="s">
        <v>390</v>
      </c>
      <c r="B15" s="38">
        <v>45028</v>
      </c>
      <c r="C15" s="38">
        <v>45118</v>
      </c>
    </row>
    <row r="16" spans="1:3">
      <c r="A16" s="32" t="s">
        <v>391</v>
      </c>
      <c r="B16" s="38">
        <v>45028</v>
      </c>
      <c r="C16" s="38">
        <v>45118</v>
      </c>
    </row>
    <row r="17" spans="1:3">
      <c r="A17" s="32" t="s">
        <v>392</v>
      </c>
      <c r="B17" s="38">
        <v>45082</v>
      </c>
      <c r="C17" s="38">
        <v>45118</v>
      </c>
    </row>
    <row r="18" spans="1:3">
      <c r="A18" s="32" t="s">
        <v>393</v>
      </c>
      <c r="B18" s="38">
        <v>45028</v>
      </c>
      <c r="C18" s="38">
        <v>45124</v>
      </c>
    </row>
    <row r="19" spans="1:3">
      <c r="A19" s="32" t="s">
        <v>394</v>
      </c>
      <c r="B19" s="38">
        <v>45082</v>
      </c>
      <c r="C19" s="38">
        <v>45138</v>
      </c>
    </row>
    <row r="20" spans="1:3">
      <c r="A20" s="32" t="s">
        <v>395</v>
      </c>
      <c r="B20" s="38">
        <v>45082</v>
      </c>
      <c r="C20" s="38">
        <v>45138</v>
      </c>
    </row>
    <row r="21" spans="1:3">
      <c r="A21" s="32" t="s">
        <v>396</v>
      </c>
      <c r="B21" s="38">
        <v>45117</v>
      </c>
      <c r="C21" s="38">
        <v>45141</v>
      </c>
    </row>
    <row r="22" spans="1:3">
      <c r="A22" s="32" t="s">
        <v>397</v>
      </c>
      <c r="B22" s="38">
        <v>45082</v>
      </c>
      <c r="C22" s="38">
        <v>45148</v>
      </c>
    </row>
    <row r="23" spans="1:3">
      <c r="A23" s="32" t="s">
        <v>398</v>
      </c>
      <c r="B23" s="38">
        <v>45124</v>
      </c>
      <c r="C23" s="38">
        <v>45148</v>
      </c>
    </row>
    <row r="24" spans="1:3">
      <c r="A24" s="32" t="s">
        <v>399</v>
      </c>
      <c r="B24" s="38">
        <v>45082</v>
      </c>
      <c r="C24" s="38">
        <v>45173</v>
      </c>
    </row>
    <row r="25" spans="1:3">
      <c r="A25" s="32" t="s">
        <v>400</v>
      </c>
      <c r="B25" s="38">
        <v>45154</v>
      </c>
      <c r="C25" s="38">
        <v>45198</v>
      </c>
    </row>
    <row r="26" spans="1:3">
      <c r="A26" s="32" t="s">
        <v>401</v>
      </c>
      <c r="B26" s="38">
        <v>45117</v>
      </c>
      <c r="C26" s="38">
        <v>45212</v>
      </c>
    </row>
    <row r="27" spans="1:3">
      <c r="A27" s="32" t="s">
        <v>402</v>
      </c>
      <c r="B27" s="38">
        <v>44554</v>
      </c>
      <c r="C27" s="38">
        <v>45214</v>
      </c>
    </row>
    <row r="28" spans="1:3">
      <c r="A28" s="32" t="s">
        <v>403</v>
      </c>
      <c r="B28" s="38">
        <v>44607</v>
      </c>
      <c r="C28" s="38">
        <v>45214</v>
      </c>
    </row>
    <row r="29" spans="1:3">
      <c r="A29" s="32" t="s">
        <v>404</v>
      </c>
      <c r="B29" s="38">
        <v>44614</v>
      </c>
      <c r="C29" s="38">
        <v>45214</v>
      </c>
    </row>
    <row r="30" spans="1:3">
      <c r="A30" s="32" t="s">
        <v>405</v>
      </c>
      <c r="B30" s="38">
        <v>45139</v>
      </c>
      <c r="C30" s="38">
        <v>45230</v>
      </c>
    </row>
    <row r="31" spans="1:3">
      <c r="A31" s="32" t="s">
        <v>406</v>
      </c>
      <c r="B31" s="38">
        <v>45176</v>
      </c>
      <c r="C31" s="38">
        <v>45230</v>
      </c>
    </row>
    <row r="32" spans="1:3">
      <c r="A32" s="32" t="s">
        <v>407</v>
      </c>
      <c r="B32" s="38">
        <v>45145</v>
      </c>
      <c r="C32" s="38">
        <v>45236</v>
      </c>
    </row>
    <row r="33" spans="1:3">
      <c r="A33" s="32" t="s">
        <v>408</v>
      </c>
      <c r="B33" s="38">
        <v>45145</v>
      </c>
      <c r="C33" s="38">
        <v>45236</v>
      </c>
    </row>
    <row r="34" spans="1:3">
      <c r="A34" s="32" t="s">
        <v>409</v>
      </c>
      <c r="B34" s="38">
        <v>45141</v>
      </c>
      <c r="C34" s="38">
        <v>45237</v>
      </c>
    </row>
    <row r="35" spans="1:3">
      <c r="A35" s="32" t="s">
        <v>410</v>
      </c>
      <c r="B35" s="38">
        <v>45212</v>
      </c>
      <c r="C35" s="38">
        <v>45238</v>
      </c>
    </row>
    <row r="36" spans="1:3">
      <c r="A36" s="32" t="s">
        <v>411</v>
      </c>
      <c r="B36" s="38">
        <v>45145</v>
      </c>
      <c r="C36" s="38">
        <v>45252</v>
      </c>
    </row>
    <row r="37" spans="1:3">
      <c r="A37" s="32" t="s">
        <v>412</v>
      </c>
      <c r="B37" s="38">
        <v>45202</v>
      </c>
      <c r="C37" s="38">
        <v>45257</v>
      </c>
    </row>
    <row r="38" spans="1:3">
      <c r="A38" s="32" t="s">
        <v>413</v>
      </c>
      <c r="B38" s="38">
        <v>45212</v>
      </c>
      <c r="C38" s="38">
        <v>45275</v>
      </c>
    </row>
    <row r="39" spans="1:3">
      <c r="A39" s="32" t="s">
        <v>414</v>
      </c>
      <c r="B39" s="38">
        <v>45271</v>
      </c>
      <c r="C39" s="38">
        <v>45281</v>
      </c>
    </row>
    <row r="40" spans="1:3">
      <c r="A40" s="32" t="s">
        <v>415</v>
      </c>
      <c r="B40" s="38">
        <v>45271</v>
      </c>
      <c r="C40" s="38">
        <v>45290</v>
      </c>
    </row>
    <row r="41" spans="1:3">
      <c r="A41" s="32" t="s">
        <v>416</v>
      </c>
      <c r="B41" s="38">
        <v>45212</v>
      </c>
      <c r="C41" s="38">
        <v>45303</v>
      </c>
    </row>
    <row r="42" spans="1:3">
      <c r="A42" s="32" t="s">
        <v>417</v>
      </c>
      <c r="B42" s="38">
        <v>45110</v>
      </c>
      <c r="C42" s="38">
        <v>45306</v>
      </c>
    </row>
    <row r="43" spans="1:3">
      <c r="A43" s="32" t="s">
        <v>418</v>
      </c>
      <c r="B43" s="38">
        <v>45271</v>
      </c>
      <c r="C43" s="38">
        <v>45315</v>
      </c>
    </row>
    <row r="44" spans="1:3">
      <c r="A44" s="32" t="s">
        <v>419</v>
      </c>
      <c r="B44" s="38">
        <v>45301</v>
      </c>
      <c r="C44" s="38">
        <v>45317</v>
      </c>
    </row>
    <row r="45" spans="1:3">
      <c r="A45" s="32" t="s">
        <v>420</v>
      </c>
      <c r="B45" s="38">
        <v>45350</v>
      </c>
      <c r="C45" s="38">
        <v>45373</v>
      </c>
    </row>
    <row r="46" spans="1:3">
      <c r="A46" s="32" t="s">
        <v>421</v>
      </c>
      <c r="B46" s="38">
        <v>45271</v>
      </c>
      <c r="C46" s="38">
        <v>45399</v>
      </c>
    </row>
    <row r="47" spans="1:3">
      <c r="A47" s="32" t="s">
        <v>422</v>
      </c>
      <c r="B47" s="38">
        <v>44555</v>
      </c>
      <c r="C47" s="38">
        <v>45427</v>
      </c>
    </row>
    <row r="48" spans="1:3">
      <c r="A48" s="32" t="s">
        <v>423</v>
      </c>
      <c r="B48" s="38">
        <v>45131</v>
      </c>
      <c r="C48" s="38">
        <v>45427</v>
      </c>
    </row>
    <row r="49" spans="1:3">
      <c r="A49" s="32" t="s">
        <v>424</v>
      </c>
      <c r="B49" s="38">
        <v>45068</v>
      </c>
      <c r="C49" s="38">
        <v>45443</v>
      </c>
    </row>
    <row r="50" spans="1:3">
      <c r="A50" s="32" t="s">
        <v>425</v>
      </c>
      <c r="B50" s="38">
        <v>45068</v>
      </c>
      <c r="C50" s="38">
        <v>45443</v>
      </c>
    </row>
    <row r="51" spans="1:3">
      <c r="A51" s="32" t="s">
        <v>426</v>
      </c>
      <c r="B51" s="38">
        <v>45238</v>
      </c>
      <c r="C51" s="38">
        <v>45443</v>
      </c>
    </row>
    <row r="52" spans="1:3">
      <c r="A52" s="32" t="s">
        <v>427</v>
      </c>
      <c r="B52" s="38">
        <v>45271</v>
      </c>
      <c r="C52" s="38">
        <v>45443</v>
      </c>
    </row>
    <row r="53" spans="1:3">
      <c r="A53" s="32" t="s">
        <v>428</v>
      </c>
      <c r="B53" s="38">
        <v>45272</v>
      </c>
      <c r="C53" s="38">
        <v>45443</v>
      </c>
    </row>
    <row r="54" spans="1:3">
      <c r="A54" s="32" t="s">
        <v>429</v>
      </c>
      <c r="B54" s="38">
        <v>45301</v>
      </c>
      <c r="C54" s="38">
        <v>45443</v>
      </c>
    </row>
    <row r="55" spans="1:3">
      <c r="A55" s="32" t="s">
        <v>430</v>
      </c>
      <c r="B55" s="38">
        <v>44479</v>
      </c>
      <c r="C55" s="38">
        <v>45471</v>
      </c>
    </row>
    <row r="56" spans="1:3">
      <c r="A56" s="32" t="s">
        <v>431</v>
      </c>
      <c r="B56" s="38">
        <v>45301</v>
      </c>
      <c r="C56" s="38">
        <v>45471</v>
      </c>
    </row>
    <row r="57" spans="1:3">
      <c r="A57" s="32" t="s">
        <v>432</v>
      </c>
      <c r="B57" s="38">
        <v>45350</v>
      </c>
      <c r="C57" s="38">
        <v>45476</v>
      </c>
    </row>
    <row r="58" spans="1:3">
      <c r="A58" s="32" t="s">
        <v>433</v>
      </c>
      <c r="B58" s="38">
        <v>45301</v>
      </c>
      <c r="C58" s="38">
        <v>45489</v>
      </c>
    </row>
    <row r="59" spans="1:3">
      <c r="A59" s="32" t="s">
        <v>434</v>
      </c>
      <c r="B59" s="38">
        <v>45124</v>
      </c>
      <c r="C59" s="38">
        <v>45516</v>
      </c>
    </row>
    <row r="60" spans="1:3">
      <c r="A60" s="32" t="s">
        <v>435</v>
      </c>
      <c r="B60" s="38">
        <v>45212</v>
      </c>
      <c r="C60" s="38">
        <v>45525</v>
      </c>
    </row>
    <row r="61" spans="1:3">
      <c r="A61" s="32" t="s">
        <v>436</v>
      </c>
      <c r="B61" s="38">
        <v>45544</v>
      </c>
      <c r="C61" s="38" t="s">
        <v>456</v>
      </c>
    </row>
    <row r="62" spans="1:3">
      <c r="A62" s="32" t="s">
        <v>437</v>
      </c>
      <c r="B62" s="38">
        <v>44291</v>
      </c>
      <c r="C62" s="38" t="s">
        <v>456</v>
      </c>
    </row>
    <row r="63" spans="1:3">
      <c r="A63" s="32" t="s">
        <v>438</v>
      </c>
      <c r="B63" s="38">
        <v>44445</v>
      </c>
      <c r="C63" s="38" t="s">
        <v>456</v>
      </c>
    </row>
    <row r="64" spans="1:3">
      <c r="A64" s="32" t="s">
        <v>439</v>
      </c>
      <c r="B64" s="38">
        <v>44445</v>
      </c>
      <c r="C64" s="38" t="s">
        <v>456</v>
      </c>
    </row>
    <row r="65" spans="1:3">
      <c r="A65" s="32" t="s">
        <v>440</v>
      </c>
      <c r="B65" s="38">
        <v>44348</v>
      </c>
      <c r="C65" s="38" t="s">
        <v>456</v>
      </c>
    </row>
    <row r="66" spans="1:3">
      <c r="A66" s="32" t="s">
        <v>441</v>
      </c>
      <c r="B66" s="38">
        <v>44445</v>
      </c>
      <c r="C66" s="38" t="s">
        <v>456</v>
      </c>
    </row>
    <row r="67" spans="1:3">
      <c r="A67" s="32" t="s">
        <v>442</v>
      </c>
      <c r="B67" s="38">
        <v>44452</v>
      </c>
      <c r="C67" s="38" t="s">
        <v>456</v>
      </c>
    </row>
    <row r="68" spans="1:3">
      <c r="A68" s="32" t="s">
        <v>443</v>
      </c>
      <c r="B68" s="38">
        <v>44258</v>
      </c>
      <c r="C68" s="38" t="s">
        <v>456</v>
      </c>
    </row>
    <row r="69" spans="1:3">
      <c r="A69" s="32" t="s">
        <v>444</v>
      </c>
      <c r="B69" s="38">
        <v>44452</v>
      </c>
      <c r="C69" s="38" t="s">
        <v>456</v>
      </c>
    </row>
    <row r="70" spans="1:3">
      <c r="A70" s="32" t="s">
        <v>445</v>
      </c>
      <c r="B70" s="38">
        <v>44452</v>
      </c>
      <c r="C70" s="38" t="s">
        <v>456</v>
      </c>
    </row>
    <row r="71" spans="1:3">
      <c r="A71" s="32" t="s">
        <v>446</v>
      </c>
      <c r="B71" s="38">
        <v>44445</v>
      </c>
      <c r="C71" s="38" t="s">
        <v>456</v>
      </c>
    </row>
    <row r="72" spans="1:3">
      <c r="A72" s="32" t="s">
        <v>28</v>
      </c>
      <c r="B72" s="38">
        <v>45271</v>
      </c>
      <c r="C72" s="38" t="s">
        <v>456</v>
      </c>
    </row>
    <row r="73" spans="1:3">
      <c r="A73" s="32" t="s">
        <v>289</v>
      </c>
      <c r="B73" s="38">
        <v>45621</v>
      </c>
      <c r="C73" s="38" t="s">
        <v>456</v>
      </c>
    </row>
    <row r="74" spans="1:3">
      <c r="A74" s="32" t="s">
        <v>447</v>
      </c>
      <c r="B74" s="38" t="s">
        <v>457</v>
      </c>
      <c r="C74" s="38">
        <v>45670</v>
      </c>
    </row>
    <row r="75" spans="1:3">
      <c r="A75" s="32" t="s">
        <v>117</v>
      </c>
      <c r="B75" s="38" t="s">
        <v>458</v>
      </c>
      <c r="C75" s="38">
        <v>45719</v>
      </c>
    </row>
    <row r="76" spans="1:3">
      <c r="A76" s="32" t="s">
        <v>371</v>
      </c>
      <c r="B76" s="38" t="s">
        <v>459</v>
      </c>
      <c r="C76" s="38">
        <v>45785</v>
      </c>
    </row>
    <row r="77" spans="1:3">
      <c r="A77" s="32" t="s">
        <v>448</v>
      </c>
      <c r="B77" s="38" t="s">
        <v>460</v>
      </c>
      <c r="C77" s="38">
        <v>45758</v>
      </c>
    </row>
    <row r="78" spans="1:3">
      <c r="A78" s="32" t="s">
        <v>224</v>
      </c>
      <c r="B78" s="38" t="s">
        <v>461</v>
      </c>
      <c r="C78" s="38">
        <v>45785</v>
      </c>
    </row>
    <row r="79" spans="1:3">
      <c r="A79" s="32" t="s">
        <v>242</v>
      </c>
      <c r="B79" s="38" t="s">
        <v>462</v>
      </c>
      <c r="C79" s="38" t="s">
        <v>463</v>
      </c>
    </row>
    <row r="80" spans="1:3">
      <c r="A80" s="32" t="s">
        <v>449</v>
      </c>
      <c r="B80" s="38" t="s">
        <v>464</v>
      </c>
      <c r="C80" s="38">
        <v>45820</v>
      </c>
    </row>
    <row r="81" spans="1:3">
      <c r="A81" s="32" t="s">
        <v>228</v>
      </c>
      <c r="B81" s="38" t="s">
        <v>465</v>
      </c>
      <c r="C81" s="38" t="s">
        <v>463</v>
      </c>
    </row>
    <row r="82" spans="1:3">
      <c r="A82" s="32" t="s">
        <v>450</v>
      </c>
      <c r="B82" s="38" t="s">
        <v>466</v>
      </c>
      <c r="C82" s="38" t="s">
        <v>463</v>
      </c>
    </row>
    <row r="83" spans="1:3">
      <c r="A83" s="32" t="s">
        <v>209</v>
      </c>
      <c r="B83" s="38" t="s">
        <v>467</v>
      </c>
      <c r="C83" s="38" t="s">
        <v>463</v>
      </c>
    </row>
    <row r="84" spans="1:3">
      <c r="A84" s="32" t="s">
        <v>251</v>
      </c>
      <c r="B84" s="38" t="s">
        <v>468</v>
      </c>
      <c r="C84" s="38" t="s">
        <v>463</v>
      </c>
    </row>
    <row r="85" spans="1:3">
      <c r="A85" s="32" t="s">
        <v>310</v>
      </c>
      <c r="B85" s="38" t="s">
        <v>469</v>
      </c>
      <c r="C85" s="38" t="s">
        <v>463</v>
      </c>
    </row>
    <row r="86" spans="1:3">
      <c r="A86" s="32" t="s">
        <v>292</v>
      </c>
      <c r="B86" s="38" t="s">
        <v>470</v>
      </c>
      <c r="C86" s="38">
        <v>45900</v>
      </c>
    </row>
    <row r="87" spans="1:3">
      <c r="A87" s="32" t="s">
        <v>361</v>
      </c>
      <c r="B87" s="38" t="s">
        <v>471</v>
      </c>
      <c r="C87" s="38" t="s">
        <v>463</v>
      </c>
    </row>
    <row r="88" spans="1:3">
      <c r="A88" s="32" t="s">
        <v>274</v>
      </c>
      <c r="B88" s="38" t="s">
        <v>460</v>
      </c>
      <c r="C88" s="38" t="s">
        <v>463</v>
      </c>
    </row>
    <row r="89" spans="1:3">
      <c r="A89" s="32" t="s">
        <v>276</v>
      </c>
      <c r="B89" s="38" t="s">
        <v>460</v>
      </c>
      <c r="C89" s="38" t="s">
        <v>463</v>
      </c>
    </row>
    <row r="90" spans="1:3">
      <c r="A90" s="32" t="s">
        <v>298</v>
      </c>
      <c r="B90" s="38" t="s">
        <v>460</v>
      </c>
      <c r="C90" s="38" t="s">
        <v>463</v>
      </c>
    </row>
    <row r="91" spans="1:3">
      <c r="A91" s="32" t="s">
        <v>39</v>
      </c>
      <c r="B91" s="38" t="s">
        <v>460</v>
      </c>
      <c r="C91" s="38" t="s">
        <v>463</v>
      </c>
    </row>
    <row r="92" spans="1:3">
      <c r="A92" s="32" t="s">
        <v>255</v>
      </c>
      <c r="B92" s="38" t="s">
        <v>460</v>
      </c>
      <c r="C92" s="38">
        <v>45708</v>
      </c>
    </row>
    <row r="93" spans="1:3">
      <c r="A93" s="32" t="s">
        <v>200</v>
      </c>
      <c r="B93" s="38" t="s">
        <v>460</v>
      </c>
      <c r="C93" s="38" t="s">
        <v>463</v>
      </c>
    </row>
    <row r="94" spans="1:3">
      <c r="A94" s="32" t="s">
        <v>78</v>
      </c>
      <c r="B94" s="38" t="s">
        <v>460</v>
      </c>
      <c r="C94" s="38" t="s">
        <v>463</v>
      </c>
    </row>
    <row r="95" spans="1:3">
      <c r="A95" s="32" t="s">
        <v>237</v>
      </c>
      <c r="B95" s="38" t="s">
        <v>472</v>
      </c>
      <c r="C95" s="38">
        <v>45708</v>
      </c>
    </row>
    <row r="96" spans="1:3">
      <c r="A96" s="32" t="s">
        <v>125</v>
      </c>
      <c r="B96" s="38" t="s">
        <v>464</v>
      </c>
      <c r="C96" s="38" t="s">
        <v>463</v>
      </c>
    </row>
    <row r="97" spans="1:3">
      <c r="A97" s="32" t="s">
        <v>248</v>
      </c>
      <c r="B97" s="38" t="s">
        <v>464</v>
      </c>
      <c r="C97" s="38" t="s">
        <v>463</v>
      </c>
    </row>
    <row r="98" spans="1:3">
      <c r="A98" s="32" t="s">
        <v>341</v>
      </c>
      <c r="B98" s="38" t="s">
        <v>464</v>
      </c>
      <c r="C98" s="38" t="s">
        <v>463</v>
      </c>
    </row>
    <row r="99" spans="1:3">
      <c r="A99" s="32" t="s">
        <v>365</v>
      </c>
      <c r="B99" s="38" t="s">
        <v>473</v>
      </c>
      <c r="C99" s="38" t="s">
        <v>463</v>
      </c>
    </row>
    <row r="100" spans="1:3">
      <c r="A100" s="32" t="s">
        <v>21</v>
      </c>
      <c r="B100" s="38" t="s">
        <v>473</v>
      </c>
      <c r="C100" s="38" t="s">
        <v>463</v>
      </c>
    </row>
    <row r="101" spans="1:3">
      <c r="A101" s="32" t="s">
        <v>113</v>
      </c>
      <c r="B101" s="38" t="s">
        <v>474</v>
      </c>
      <c r="C101" s="38" t="s">
        <v>463</v>
      </c>
    </row>
    <row r="102" spans="1:3">
      <c r="A102" s="32" t="s">
        <v>204</v>
      </c>
      <c r="B102" s="38" t="s">
        <v>475</v>
      </c>
      <c r="C102" s="38">
        <v>45708</v>
      </c>
    </row>
    <row r="103" spans="1:3">
      <c r="A103" s="32" t="s">
        <v>155</v>
      </c>
      <c r="B103" s="38" t="s">
        <v>475</v>
      </c>
      <c r="C103" s="38" t="s">
        <v>463</v>
      </c>
    </row>
    <row r="104" spans="1:3">
      <c r="A104" s="32" t="s">
        <v>58</v>
      </c>
      <c r="B104" s="38" t="s">
        <v>476</v>
      </c>
      <c r="C104" s="38" t="s">
        <v>463</v>
      </c>
    </row>
    <row r="105" spans="1:3">
      <c r="A105" s="32" t="s">
        <v>315</v>
      </c>
      <c r="B105" s="38" t="s">
        <v>477</v>
      </c>
      <c r="C105" s="38" t="s">
        <v>463</v>
      </c>
    </row>
    <row r="106" spans="1:3">
      <c r="A106" s="32" t="s">
        <v>343</v>
      </c>
      <c r="B106" s="38" t="s">
        <v>478</v>
      </c>
      <c r="C106" s="38" t="s">
        <v>463</v>
      </c>
    </row>
    <row r="107" spans="1:3">
      <c r="A107" s="32" t="s">
        <v>89</v>
      </c>
      <c r="B107" s="38" t="s">
        <v>467</v>
      </c>
      <c r="C107" s="38" t="s">
        <v>463</v>
      </c>
    </row>
    <row r="108" spans="1:3">
      <c r="A108" s="32" t="s">
        <v>142</v>
      </c>
      <c r="B108" s="38" t="s">
        <v>479</v>
      </c>
      <c r="C108" s="38" t="s">
        <v>463</v>
      </c>
    </row>
    <row r="109" spans="1:3">
      <c r="A109" s="32" t="s">
        <v>188</v>
      </c>
      <c r="B109" s="38" t="s">
        <v>480</v>
      </c>
      <c r="C109" s="38">
        <v>45844</v>
      </c>
    </row>
    <row r="110" spans="1:3">
      <c r="A110" s="32" t="s">
        <v>451</v>
      </c>
      <c r="B110" s="38" t="s">
        <v>481</v>
      </c>
      <c r="C110" s="38">
        <v>45708</v>
      </c>
    </row>
    <row r="111" spans="1:3">
      <c r="A111" s="32" t="s">
        <v>94</v>
      </c>
      <c r="B111" s="38" t="s">
        <v>482</v>
      </c>
      <c r="C111" s="38">
        <v>45888</v>
      </c>
    </row>
    <row r="112" spans="1:3">
      <c r="A112" s="32" t="s">
        <v>149</v>
      </c>
      <c r="B112" s="38" t="s">
        <v>482</v>
      </c>
      <c r="C112" s="38" t="s">
        <v>463</v>
      </c>
    </row>
    <row r="113" spans="1:3">
      <c r="A113" s="32" t="s">
        <v>100</v>
      </c>
      <c r="B113" s="38" t="s">
        <v>482</v>
      </c>
      <c r="C113" s="38">
        <v>45708</v>
      </c>
    </row>
    <row r="114" spans="1:3">
      <c r="A114" s="32" t="s">
        <v>131</v>
      </c>
      <c r="B114" s="38" t="s">
        <v>482</v>
      </c>
      <c r="C114" s="38" t="s">
        <v>463</v>
      </c>
    </row>
    <row r="115" spans="1:3">
      <c r="A115" s="32" t="s">
        <v>232</v>
      </c>
      <c r="B115" s="38" t="s">
        <v>482</v>
      </c>
      <c r="C115" s="38" t="s">
        <v>463</v>
      </c>
    </row>
    <row r="116" spans="1:3">
      <c r="A116" s="32" t="s">
        <v>162</v>
      </c>
      <c r="B116" s="38" t="s">
        <v>483</v>
      </c>
      <c r="C116" s="38" t="s">
        <v>463</v>
      </c>
    </row>
    <row r="117" spans="1:3">
      <c r="A117" s="32" t="s">
        <v>71</v>
      </c>
      <c r="B117" s="38" t="s">
        <v>484</v>
      </c>
      <c r="C117" s="38" t="s">
        <v>463</v>
      </c>
    </row>
    <row r="118" spans="1:3">
      <c r="A118" s="32" t="s">
        <v>305</v>
      </c>
      <c r="B118" s="38" t="s">
        <v>484</v>
      </c>
      <c r="C118" s="38">
        <v>45930</v>
      </c>
    </row>
    <row r="119" spans="1:3">
      <c r="A119" s="32" t="s">
        <v>173</v>
      </c>
      <c r="B119" s="38" t="s">
        <v>485</v>
      </c>
      <c r="C119" s="38" t="s">
        <v>463</v>
      </c>
    </row>
    <row r="120" spans="1:3">
      <c r="A120" s="32" t="s">
        <v>63</v>
      </c>
      <c r="B120" s="38" t="s">
        <v>486</v>
      </c>
      <c r="C120" s="38">
        <v>45945</v>
      </c>
    </row>
    <row r="121" spans="1:3">
      <c r="A121" s="32" t="s">
        <v>278</v>
      </c>
      <c r="B121" s="38" t="s">
        <v>487</v>
      </c>
      <c r="C121" s="38" t="s">
        <v>463</v>
      </c>
    </row>
    <row r="122" spans="1:3">
      <c r="A122" s="32" t="s">
        <v>105</v>
      </c>
      <c r="B122" s="38" t="s">
        <v>488</v>
      </c>
      <c r="C122" s="38" t="s">
        <v>463</v>
      </c>
    </row>
    <row r="123" spans="1:3">
      <c r="A123" s="32" t="s">
        <v>84</v>
      </c>
      <c r="B123" s="38" t="s">
        <v>489</v>
      </c>
      <c r="C123" s="38" t="s">
        <v>463</v>
      </c>
    </row>
    <row r="124" spans="1:3">
      <c r="A124" s="32" t="s">
        <v>261</v>
      </c>
      <c r="B124" s="38" t="s">
        <v>490</v>
      </c>
      <c r="C124" s="38" t="s">
        <v>463</v>
      </c>
    </row>
    <row r="125" spans="1:3">
      <c r="A125" s="32" t="s">
        <v>178</v>
      </c>
      <c r="B125" s="38" t="s">
        <v>490</v>
      </c>
      <c r="C125" s="38" t="s">
        <v>463</v>
      </c>
    </row>
    <row r="126" spans="1:3">
      <c r="A126" s="32" t="s">
        <v>322</v>
      </c>
      <c r="B126" s="38" t="s">
        <v>491</v>
      </c>
      <c r="C126" s="38" t="s">
        <v>463</v>
      </c>
    </row>
    <row r="127" spans="1:3">
      <c r="A127" s="32" t="s">
        <v>452</v>
      </c>
      <c r="B127" s="38" t="s">
        <v>492</v>
      </c>
      <c r="C127" s="38" t="s">
        <v>463</v>
      </c>
    </row>
    <row r="128" spans="1:3">
      <c r="A128" s="32" t="s">
        <v>453</v>
      </c>
      <c r="B128" s="38" t="s">
        <v>493</v>
      </c>
      <c r="C128" s="38" t="s">
        <v>463</v>
      </c>
    </row>
    <row r="129" spans="1:3">
      <c r="A129" s="32" t="s">
        <v>167</v>
      </c>
      <c r="B129" s="38" t="s">
        <v>494</v>
      </c>
      <c r="C129" s="38" t="s">
        <v>463</v>
      </c>
    </row>
    <row r="130" spans="1:3">
      <c r="A130" s="32" t="s">
        <v>214</v>
      </c>
      <c r="B130" s="38" t="s">
        <v>495</v>
      </c>
      <c r="C130" s="38" t="s">
        <v>463</v>
      </c>
    </row>
    <row r="131" spans="1:3">
      <c r="A131" s="32" t="s">
        <v>348</v>
      </c>
      <c r="B131" s="38" t="s">
        <v>459</v>
      </c>
      <c r="C131" s="38" t="s">
        <v>463</v>
      </c>
    </row>
    <row r="132" spans="1:3">
      <c r="A132" s="32" t="s">
        <v>48</v>
      </c>
      <c r="B132" s="38" t="s">
        <v>496</v>
      </c>
      <c r="C132" s="38" t="s">
        <v>463</v>
      </c>
    </row>
    <row r="133" spans="1:3">
      <c r="A133" s="32" t="s">
        <v>15</v>
      </c>
      <c r="B133" s="38" t="s">
        <v>495</v>
      </c>
      <c r="C133" s="38">
        <v>45835</v>
      </c>
    </row>
    <row r="134" spans="1:3">
      <c r="A134" s="32" t="s">
        <v>193</v>
      </c>
      <c r="B134" s="38" t="s">
        <v>495</v>
      </c>
      <c r="C134" s="38" t="s">
        <v>463</v>
      </c>
    </row>
    <row r="135" spans="1:3">
      <c r="A135" s="33" t="s">
        <v>327</v>
      </c>
      <c r="B135" s="38" t="s">
        <v>497</v>
      </c>
      <c r="C135" s="38">
        <v>45945</v>
      </c>
    </row>
    <row r="136" spans="1:3">
      <c r="A136" s="32" t="s">
        <v>137</v>
      </c>
      <c r="B136" s="38" t="s">
        <v>497</v>
      </c>
      <c r="C136" s="38" t="s">
        <v>463</v>
      </c>
    </row>
    <row r="137" spans="1:3">
      <c r="A137" s="32" t="s">
        <v>52</v>
      </c>
      <c r="B137" s="38" t="s">
        <v>497</v>
      </c>
      <c r="C137" s="38">
        <v>45945</v>
      </c>
    </row>
    <row r="138" spans="1:3">
      <c r="A138" s="32" t="s">
        <v>267</v>
      </c>
      <c r="B138" s="38" t="s">
        <v>498</v>
      </c>
      <c r="C138" s="38" t="s">
        <v>463</v>
      </c>
    </row>
    <row r="139" spans="1:3">
      <c r="A139" s="32" t="s">
        <v>33</v>
      </c>
      <c r="B139" s="38" t="s">
        <v>498</v>
      </c>
      <c r="C139" s="38" t="s">
        <v>463</v>
      </c>
    </row>
    <row r="140" spans="1:3">
      <c r="A140" s="32" t="s">
        <v>218</v>
      </c>
      <c r="B140" s="38" t="s">
        <v>499</v>
      </c>
      <c r="C140" s="38" t="s">
        <v>463</v>
      </c>
    </row>
    <row r="141" spans="1:3">
      <c r="A141" s="32" t="s">
        <v>286</v>
      </c>
      <c r="B141" s="38" t="s">
        <v>500</v>
      </c>
      <c r="C141" s="38" t="s">
        <v>463</v>
      </c>
    </row>
    <row r="142" spans="1:3">
      <c r="A142" s="32" t="s">
        <v>121</v>
      </c>
      <c r="B142" s="38" t="s">
        <v>500</v>
      </c>
      <c r="C142" s="38" t="s">
        <v>463</v>
      </c>
    </row>
    <row r="143" spans="1:3">
      <c r="A143" s="34"/>
      <c r="B143" s="39"/>
      <c r="C14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W10_22H2_SEP_ESPAÑOL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natalia escobar  castro</dc:creator>
  <cp:lastModifiedBy>angela natalia escobar  castro</cp:lastModifiedBy>
  <dcterms:created xsi:type="dcterms:W3CDTF">2025-11-07T21:33:40Z</dcterms:created>
  <dcterms:modified xsi:type="dcterms:W3CDTF">2026-02-04T15:30:12Z</dcterms:modified>
</cp:coreProperties>
</file>